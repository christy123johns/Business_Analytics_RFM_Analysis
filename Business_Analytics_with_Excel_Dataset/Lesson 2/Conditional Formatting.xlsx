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kchri\Downloads\Business Analytics using Excel\Business_Analytics_with_Excel_Dataset\Lesson 2\"/>
    </mc:Choice>
  </mc:AlternateContent>
  <xr:revisionPtr revIDLastSave="0" documentId="13_ncr:1_{53C6C277-4BD7-4243-AE67-ED683DFBF685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Conditional Formatting1" sheetId="6" state="hidden" r:id="rId1"/>
    <sheet name="Conditional Formatting" sheetId="7" r:id="rId2"/>
    <sheet name="Sheet1" sheetId="8" r:id="rId3"/>
  </sheets>
  <definedNames>
    <definedName name="_xlnm._FilterDatabase" localSheetId="0" hidden="1">'Conditional Formatting1'!$E$3:$F$13</definedName>
    <definedName name="Z_1B9D8C58_6978_4662_B226_9409A214B1E7_.wvu.FilterData" localSheetId="0" hidden="1">'Conditional Formatting1'!#REF!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95" i="8" l="1"/>
  <c r="O251" i="8"/>
  <c r="O259" i="8"/>
  <c r="O451" i="8"/>
  <c r="O483" i="8"/>
  <c r="O487" i="8"/>
  <c r="O548" i="8"/>
  <c r="O551" i="8"/>
  <c r="O600" i="8"/>
  <c r="O601" i="8"/>
  <c r="O630" i="8"/>
  <c r="O638" i="8"/>
  <c r="O639" i="8"/>
  <c r="O667" i="8"/>
  <c r="O675" i="8"/>
  <c r="O676" i="8"/>
  <c r="O708" i="8"/>
  <c r="O709" i="8"/>
  <c r="O740" i="8"/>
  <c r="O741" i="8"/>
  <c r="O765" i="8"/>
  <c r="O771" i="8"/>
  <c r="O787" i="8"/>
  <c r="O788" i="8"/>
  <c r="O789" i="8"/>
  <c r="O811" i="8"/>
  <c r="O812" i="8"/>
  <c r="O829" i="8"/>
  <c r="O835" i="8"/>
  <c r="O851" i="8"/>
  <c r="O852" i="8"/>
  <c r="O853" i="8"/>
  <c r="O869" i="8"/>
  <c r="O885" i="8"/>
  <c r="O901" i="8"/>
  <c r="O917" i="8"/>
  <c r="O919" i="8"/>
  <c r="O931" i="8"/>
  <c r="O932" i="8"/>
  <c r="O943" i="8"/>
  <c r="O955" i="8"/>
  <c r="O956" i="8"/>
  <c r="O957" i="8"/>
  <c r="O971" i="8"/>
  <c r="O981" i="8"/>
  <c r="O983" i="8"/>
  <c r="O995" i="8"/>
  <c r="O996" i="8"/>
  <c r="O1007" i="8"/>
  <c r="O1019" i="8"/>
  <c r="O1020" i="8"/>
  <c r="O1021" i="8"/>
  <c r="O1035" i="8"/>
  <c r="O1045" i="8"/>
  <c r="O1047" i="8"/>
  <c r="O1059" i="8"/>
  <c r="O1060" i="8"/>
  <c r="O1069" i="8"/>
  <c r="O1071" i="8"/>
  <c r="O1091" i="8"/>
  <c r="O1099" i="8"/>
  <c r="O1100" i="8"/>
  <c r="O1107" i="8"/>
  <c r="O1108" i="8"/>
  <c r="O1109" i="8"/>
  <c r="O1117" i="8"/>
  <c r="O1119" i="8"/>
  <c r="O1127" i="8"/>
  <c r="O1128" i="8"/>
  <c r="O1136" i="8"/>
  <c r="O1137" i="8"/>
  <c r="O1155" i="8"/>
  <c r="O1163" i="8"/>
  <c r="O1164" i="8"/>
  <c r="O1171" i="8"/>
  <c r="O1172" i="8"/>
  <c r="O1179" i="8"/>
  <c r="O1180" i="8"/>
  <c r="O1187" i="8"/>
  <c r="O1188" i="8"/>
  <c r="O1195" i="8"/>
  <c r="O1196" i="8"/>
  <c r="O1203" i="8"/>
  <c r="O1204" i="8"/>
  <c r="O1211" i="8"/>
  <c r="O1212" i="8"/>
  <c r="O1219" i="8"/>
  <c r="O1220" i="8"/>
  <c r="O1227" i="8"/>
  <c r="O1228" i="8"/>
  <c r="O1235" i="8"/>
  <c r="O1236" i="8"/>
  <c r="O1243" i="8"/>
  <c r="O1244" i="8"/>
  <c r="O1251" i="8"/>
  <c r="O1252" i="8"/>
  <c r="O1259" i="8"/>
  <c r="O1260" i="8"/>
  <c r="O1267" i="8"/>
  <c r="O1268" i="8"/>
  <c r="O1275" i="8"/>
  <c r="O1276" i="8"/>
  <c r="O1283" i="8"/>
  <c r="O1284" i="8"/>
  <c r="O1291" i="8"/>
  <c r="O1292" i="8"/>
  <c r="O1299" i="8"/>
  <c r="O1300" i="8"/>
  <c r="O1307" i="8"/>
  <c r="O1308" i="8"/>
  <c r="O1315" i="8"/>
  <c r="O1316" i="8"/>
  <c r="O1323" i="8"/>
  <c r="O1324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N1278" i="8"/>
  <c r="N1279" i="8"/>
  <c r="N1280" i="8"/>
  <c r="N1281" i="8"/>
  <c r="N1282" i="8"/>
  <c r="N1283" i="8"/>
  <c r="N1284" i="8"/>
  <c r="N1285" i="8"/>
  <c r="N1286" i="8"/>
  <c r="N1287" i="8"/>
  <c r="N1288" i="8"/>
  <c r="N1289" i="8"/>
  <c r="N1290" i="8"/>
  <c r="N1291" i="8"/>
  <c r="N1292" i="8"/>
  <c r="N1293" i="8"/>
  <c r="N1294" i="8"/>
  <c r="N1295" i="8"/>
  <c r="N1296" i="8"/>
  <c r="N1297" i="8"/>
  <c r="N1298" i="8"/>
  <c r="N1299" i="8"/>
  <c r="N1300" i="8"/>
  <c r="N1301" i="8"/>
  <c r="N1302" i="8"/>
  <c r="N1303" i="8"/>
  <c r="N1304" i="8"/>
  <c r="N1305" i="8"/>
  <c r="N1306" i="8"/>
  <c r="N1307" i="8"/>
  <c r="N1308" i="8"/>
  <c r="N1309" i="8"/>
  <c r="N1310" i="8"/>
  <c r="N1311" i="8"/>
  <c r="N1312" i="8"/>
  <c r="N1313" i="8"/>
  <c r="N1314" i="8"/>
  <c r="N1315" i="8"/>
  <c r="N1316" i="8"/>
  <c r="N1317" i="8"/>
  <c r="N1318" i="8"/>
  <c r="N1319" i="8"/>
  <c r="N1320" i="8"/>
  <c r="N1321" i="8"/>
  <c r="N1322" i="8"/>
  <c r="N1323" i="8"/>
  <c r="N1324" i="8"/>
  <c r="N1325" i="8"/>
  <c r="N1326" i="8"/>
  <c r="N2" i="8"/>
  <c r="M3" i="8"/>
  <c r="O3" i="8" s="1"/>
  <c r="M4" i="8"/>
  <c r="O4" i="8" s="1"/>
  <c r="M5" i="8"/>
  <c r="O5" i="8" s="1"/>
  <c r="M6" i="8"/>
  <c r="O6" i="8" s="1"/>
  <c r="M7" i="8"/>
  <c r="O7" i="8" s="1"/>
  <c r="M8" i="8"/>
  <c r="O8" i="8" s="1"/>
  <c r="M9" i="8"/>
  <c r="O9" i="8" s="1"/>
  <c r="M10" i="8"/>
  <c r="O10" i="8" s="1"/>
  <c r="M11" i="8"/>
  <c r="O11" i="8" s="1"/>
  <c r="M12" i="8"/>
  <c r="O12" i="8" s="1"/>
  <c r="M13" i="8"/>
  <c r="O13" i="8" s="1"/>
  <c r="M14" i="8"/>
  <c r="O14" i="8" s="1"/>
  <c r="M15" i="8"/>
  <c r="O15" i="8" s="1"/>
  <c r="M16" i="8"/>
  <c r="O16" i="8" s="1"/>
  <c r="M17" i="8"/>
  <c r="O17" i="8" s="1"/>
  <c r="M18" i="8"/>
  <c r="O18" i="8" s="1"/>
  <c r="M19" i="8"/>
  <c r="O19" i="8" s="1"/>
  <c r="M20" i="8"/>
  <c r="O20" i="8" s="1"/>
  <c r="M21" i="8"/>
  <c r="O21" i="8" s="1"/>
  <c r="M22" i="8"/>
  <c r="O22" i="8" s="1"/>
  <c r="M23" i="8"/>
  <c r="O23" i="8" s="1"/>
  <c r="M24" i="8"/>
  <c r="O24" i="8" s="1"/>
  <c r="M25" i="8"/>
  <c r="O25" i="8" s="1"/>
  <c r="M26" i="8"/>
  <c r="O26" i="8" s="1"/>
  <c r="M27" i="8"/>
  <c r="O27" i="8" s="1"/>
  <c r="M28" i="8"/>
  <c r="O28" i="8" s="1"/>
  <c r="M29" i="8"/>
  <c r="O29" i="8" s="1"/>
  <c r="M30" i="8"/>
  <c r="O30" i="8" s="1"/>
  <c r="M31" i="8"/>
  <c r="O31" i="8" s="1"/>
  <c r="M32" i="8"/>
  <c r="O32" i="8" s="1"/>
  <c r="M33" i="8"/>
  <c r="O33" i="8" s="1"/>
  <c r="M34" i="8"/>
  <c r="O34" i="8" s="1"/>
  <c r="M35" i="8"/>
  <c r="O35" i="8" s="1"/>
  <c r="M36" i="8"/>
  <c r="O36" i="8" s="1"/>
  <c r="M37" i="8"/>
  <c r="O37" i="8" s="1"/>
  <c r="M38" i="8"/>
  <c r="O38" i="8" s="1"/>
  <c r="M39" i="8"/>
  <c r="O39" i="8" s="1"/>
  <c r="M40" i="8"/>
  <c r="O40" i="8" s="1"/>
  <c r="M41" i="8"/>
  <c r="O41" i="8" s="1"/>
  <c r="M42" i="8"/>
  <c r="O42" i="8" s="1"/>
  <c r="M43" i="8"/>
  <c r="O43" i="8" s="1"/>
  <c r="M44" i="8"/>
  <c r="O44" i="8" s="1"/>
  <c r="M45" i="8"/>
  <c r="O45" i="8" s="1"/>
  <c r="M46" i="8"/>
  <c r="O46" i="8" s="1"/>
  <c r="M47" i="8"/>
  <c r="O47" i="8" s="1"/>
  <c r="M48" i="8"/>
  <c r="O48" i="8" s="1"/>
  <c r="M49" i="8"/>
  <c r="O49" i="8" s="1"/>
  <c r="M50" i="8"/>
  <c r="O50" i="8" s="1"/>
  <c r="M51" i="8"/>
  <c r="O51" i="8" s="1"/>
  <c r="M52" i="8"/>
  <c r="O52" i="8" s="1"/>
  <c r="M53" i="8"/>
  <c r="O53" i="8" s="1"/>
  <c r="M54" i="8"/>
  <c r="O54" i="8" s="1"/>
  <c r="M55" i="8"/>
  <c r="O55" i="8" s="1"/>
  <c r="M56" i="8"/>
  <c r="O56" i="8" s="1"/>
  <c r="M57" i="8"/>
  <c r="O57" i="8" s="1"/>
  <c r="M58" i="8"/>
  <c r="O58" i="8" s="1"/>
  <c r="M59" i="8"/>
  <c r="O59" i="8" s="1"/>
  <c r="M60" i="8"/>
  <c r="O60" i="8" s="1"/>
  <c r="M61" i="8"/>
  <c r="O61" i="8" s="1"/>
  <c r="M62" i="8"/>
  <c r="O62" i="8" s="1"/>
  <c r="M63" i="8"/>
  <c r="O63" i="8" s="1"/>
  <c r="M64" i="8"/>
  <c r="O64" i="8" s="1"/>
  <c r="M65" i="8"/>
  <c r="O65" i="8" s="1"/>
  <c r="M66" i="8"/>
  <c r="O66" i="8" s="1"/>
  <c r="M67" i="8"/>
  <c r="O67" i="8" s="1"/>
  <c r="M68" i="8"/>
  <c r="O68" i="8" s="1"/>
  <c r="M69" i="8"/>
  <c r="O69" i="8" s="1"/>
  <c r="M70" i="8"/>
  <c r="O70" i="8" s="1"/>
  <c r="M71" i="8"/>
  <c r="O71" i="8" s="1"/>
  <c r="M72" i="8"/>
  <c r="O72" i="8" s="1"/>
  <c r="M73" i="8"/>
  <c r="O73" i="8" s="1"/>
  <c r="M74" i="8"/>
  <c r="O74" i="8" s="1"/>
  <c r="M75" i="8"/>
  <c r="O75" i="8" s="1"/>
  <c r="M76" i="8"/>
  <c r="O76" i="8" s="1"/>
  <c r="M77" i="8"/>
  <c r="O77" i="8" s="1"/>
  <c r="M78" i="8"/>
  <c r="O78" i="8" s="1"/>
  <c r="M79" i="8"/>
  <c r="O79" i="8" s="1"/>
  <c r="M80" i="8"/>
  <c r="O80" i="8" s="1"/>
  <c r="M81" i="8"/>
  <c r="O81" i="8" s="1"/>
  <c r="M82" i="8"/>
  <c r="O82" i="8" s="1"/>
  <c r="M83" i="8"/>
  <c r="O83" i="8" s="1"/>
  <c r="M84" i="8"/>
  <c r="O84" i="8" s="1"/>
  <c r="M85" i="8"/>
  <c r="O85" i="8" s="1"/>
  <c r="M86" i="8"/>
  <c r="O86" i="8" s="1"/>
  <c r="M87" i="8"/>
  <c r="O87" i="8" s="1"/>
  <c r="M88" i="8"/>
  <c r="O88" i="8" s="1"/>
  <c r="M89" i="8"/>
  <c r="O89" i="8" s="1"/>
  <c r="M90" i="8"/>
  <c r="O90" i="8" s="1"/>
  <c r="M91" i="8"/>
  <c r="O91" i="8" s="1"/>
  <c r="M92" i="8"/>
  <c r="O92" i="8" s="1"/>
  <c r="M93" i="8"/>
  <c r="O93" i="8" s="1"/>
  <c r="M94" i="8"/>
  <c r="O94" i="8" s="1"/>
  <c r="M95" i="8"/>
  <c r="O95" i="8" s="1"/>
  <c r="M96" i="8"/>
  <c r="O96" i="8" s="1"/>
  <c r="M97" i="8"/>
  <c r="O97" i="8" s="1"/>
  <c r="M98" i="8"/>
  <c r="O98" i="8" s="1"/>
  <c r="M99" i="8"/>
  <c r="O99" i="8" s="1"/>
  <c r="M100" i="8"/>
  <c r="O100" i="8" s="1"/>
  <c r="M101" i="8"/>
  <c r="O101" i="8" s="1"/>
  <c r="M102" i="8"/>
  <c r="O102" i="8" s="1"/>
  <c r="M103" i="8"/>
  <c r="O103" i="8" s="1"/>
  <c r="M104" i="8"/>
  <c r="O104" i="8" s="1"/>
  <c r="M105" i="8"/>
  <c r="O105" i="8" s="1"/>
  <c r="M106" i="8"/>
  <c r="O106" i="8" s="1"/>
  <c r="M107" i="8"/>
  <c r="O107" i="8" s="1"/>
  <c r="M108" i="8"/>
  <c r="O108" i="8" s="1"/>
  <c r="M109" i="8"/>
  <c r="O109" i="8" s="1"/>
  <c r="M110" i="8"/>
  <c r="O110" i="8" s="1"/>
  <c r="M111" i="8"/>
  <c r="O111" i="8" s="1"/>
  <c r="M112" i="8"/>
  <c r="O112" i="8" s="1"/>
  <c r="M113" i="8"/>
  <c r="O113" i="8" s="1"/>
  <c r="M114" i="8"/>
  <c r="O114" i="8" s="1"/>
  <c r="M115" i="8"/>
  <c r="O115" i="8" s="1"/>
  <c r="M116" i="8"/>
  <c r="O116" i="8" s="1"/>
  <c r="M117" i="8"/>
  <c r="O117" i="8" s="1"/>
  <c r="M118" i="8"/>
  <c r="O118" i="8" s="1"/>
  <c r="M119" i="8"/>
  <c r="O119" i="8" s="1"/>
  <c r="M120" i="8"/>
  <c r="O120" i="8" s="1"/>
  <c r="M121" i="8"/>
  <c r="O121" i="8" s="1"/>
  <c r="M122" i="8"/>
  <c r="O122" i="8" s="1"/>
  <c r="M123" i="8"/>
  <c r="O123" i="8" s="1"/>
  <c r="M124" i="8"/>
  <c r="O124" i="8" s="1"/>
  <c r="M125" i="8"/>
  <c r="O125" i="8" s="1"/>
  <c r="M126" i="8"/>
  <c r="O126" i="8" s="1"/>
  <c r="M127" i="8"/>
  <c r="O127" i="8" s="1"/>
  <c r="M128" i="8"/>
  <c r="O128" i="8" s="1"/>
  <c r="M129" i="8"/>
  <c r="O129" i="8" s="1"/>
  <c r="M130" i="8"/>
  <c r="O130" i="8" s="1"/>
  <c r="M131" i="8"/>
  <c r="O131" i="8" s="1"/>
  <c r="M132" i="8"/>
  <c r="O132" i="8" s="1"/>
  <c r="M133" i="8"/>
  <c r="O133" i="8" s="1"/>
  <c r="M134" i="8"/>
  <c r="O134" i="8" s="1"/>
  <c r="M135" i="8"/>
  <c r="O135" i="8" s="1"/>
  <c r="M136" i="8"/>
  <c r="O136" i="8" s="1"/>
  <c r="M137" i="8"/>
  <c r="O137" i="8" s="1"/>
  <c r="M138" i="8"/>
  <c r="O138" i="8" s="1"/>
  <c r="M139" i="8"/>
  <c r="O139" i="8" s="1"/>
  <c r="M140" i="8"/>
  <c r="O140" i="8" s="1"/>
  <c r="M141" i="8"/>
  <c r="O141" i="8" s="1"/>
  <c r="M142" i="8"/>
  <c r="O142" i="8" s="1"/>
  <c r="M143" i="8"/>
  <c r="O143" i="8" s="1"/>
  <c r="M144" i="8"/>
  <c r="O144" i="8" s="1"/>
  <c r="M145" i="8"/>
  <c r="O145" i="8" s="1"/>
  <c r="M146" i="8"/>
  <c r="O146" i="8" s="1"/>
  <c r="M147" i="8"/>
  <c r="O147" i="8" s="1"/>
  <c r="M148" i="8"/>
  <c r="O148" i="8" s="1"/>
  <c r="M149" i="8"/>
  <c r="O149" i="8" s="1"/>
  <c r="M150" i="8"/>
  <c r="O150" i="8" s="1"/>
  <c r="M151" i="8"/>
  <c r="O151" i="8" s="1"/>
  <c r="M152" i="8"/>
  <c r="O152" i="8" s="1"/>
  <c r="M153" i="8"/>
  <c r="O153" i="8" s="1"/>
  <c r="M154" i="8"/>
  <c r="O154" i="8" s="1"/>
  <c r="M155" i="8"/>
  <c r="O155" i="8" s="1"/>
  <c r="M156" i="8"/>
  <c r="O156" i="8" s="1"/>
  <c r="M157" i="8"/>
  <c r="O157" i="8" s="1"/>
  <c r="M158" i="8"/>
  <c r="O158" i="8" s="1"/>
  <c r="M159" i="8"/>
  <c r="O159" i="8" s="1"/>
  <c r="M160" i="8"/>
  <c r="O160" i="8" s="1"/>
  <c r="M161" i="8"/>
  <c r="O161" i="8" s="1"/>
  <c r="M162" i="8"/>
  <c r="O162" i="8" s="1"/>
  <c r="M163" i="8"/>
  <c r="O163" i="8" s="1"/>
  <c r="M164" i="8"/>
  <c r="O164" i="8" s="1"/>
  <c r="M165" i="8"/>
  <c r="O165" i="8" s="1"/>
  <c r="M166" i="8"/>
  <c r="O166" i="8" s="1"/>
  <c r="M167" i="8"/>
  <c r="O167" i="8" s="1"/>
  <c r="M168" i="8"/>
  <c r="O168" i="8" s="1"/>
  <c r="M169" i="8"/>
  <c r="O169" i="8" s="1"/>
  <c r="M170" i="8"/>
  <c r="O170" i="8" s="1"/>
  <c r="M171" i="8"/>
  <c r="O171" i="8" s="1"/>
  <c r="M172" i="8"/>
  <c r="O172" i="8" s="1"/>
  <c r="M173" i="8"/>
  <c r="O173" i="8" s="1"/>
  <c r="M174" i="8"/>
  <c r="O174" i="8" s="1"/>
  <c r="M175" i="8"/>
  <c r="O175" i="8" s="1"/>
  <c r="M176" i="8"/>
  <c r="O176" i="8" s="1"/>
  <c r="M177" i="8"/>
  <c r="O177" i="8" s="1"/>
  <c r="M178" i="8"/>
  <c r="O178" i="8" s="1"/>
  <c r="M179" i="8"/>
  <c r="O179" i="8" s="1"/>
  <c r="M180" i="8"/>
  <c r="O180" i="8" s="1"/>
  <c r="M181" i="8"/>
  <c r="O181" i="8" s="1"/>
  <c r="M182" i="8"/>
  <c r="O182" i="8" s="1"/>
  <c r="M183" i="8"/>
  <c r="O183" i="8" s="1"/>
  <c r="M184" i="8"/>
  <c r="O184" i="8" s="1"/>
  <c r="M185" i="8"/>
  <c r="O185" i="8" s="1"/>
  <c r="M186" i="8"/>
  <c r="O186" i="8" s="1"/>
  <c r="M187" i="8"/>
  <c r="O187" i="8" s="1"/>
  <c r="M188" i="8"/>
  <c r="O188" i="8" s="1"/>
  <c r="M189" i="8"/>
  <c r="O189" i="8" s="1"/>
  <c r="M190" i="8"/>
  <c r="O190" i="8" s="1"/>
  <c r="M191" i="8"/>
  <c r="O191" i="8" s="1"/>
  <c r="M192" i="8"/>
  <c r="O192" i="8" s="1"/>
  <c r="M193" i="8"/>
  <c r="O193" i="8" s="1"/>
  <c r="M194" i="8"/>
  <c r="O194" i="8" s="1"/>
  <c r="M195" i="8"/>
  <c r="M196" i="8"/>
  <c r="O196" i="8" s="1"/>
  <c r="M197" i="8"/>
  <c r="O197" i="8" s="1"/>
  <c r="M198" i="8"/>
  <c r="O198" i="8" s="1"/>
  <c r="M199" i="8"/>
  <c r="O199" i="8" s="1"/>
  <c r="M200" i="8"/>
  <c r="O200" i="8" s="1"/>
  <c r="M201" i="8"/>
  <c r="O201" i="8" s="1"/>
  <c r="M202" i="8"/>
  <c r="O202" i="8" s="1"/>
  <c r="M203" i="8"/>
  <c r="O203" i="8" s="1"/>
  <c r="M204" i="8"/>
  <c r="O204" i="8" s="1"/>
  <c r="M205" i="8"/>
  <c r="O205" i="8" s="1"/>
  <c r="M206" i="8"/>
  <c r="O206" i="8" s="1"/>
  <c r="M207" i="8"/>
  <c r="O207" i="8" s="1"/>
  <c r="M208" i="8"/>
  <c r="O208" i="8" s="1"/>
  <c r="M209" i="8"/>
  <c r="O209" i="8" s="1"/>
  <c r="M210" i="8"/>
  <c r="O210" i="8" s="1"/>
  <c r="M211" i="8"/>
  <c r="O211" i="8" s="1"/>
  <c r="M212" i="8"/>
  <c r="O212" i="8" s="1"/>
  <c r="M213" i="8"/>
  <c r="O213" i="8" s="1"/>
  <c r="M214" i="8"/>
  <c r="O214" i="8" s="1"/>
  <c r="M215" i="8"/>
  <c r="O215" i="8" s="1"/>
  <c r="M216" i="8"/>
  <c r="O216" i="8" s="1"/>
  <c r="M217" i="8"/>
  <c r="O217" i="8" s="1"/>
  <c r="M218" i="8"/>
  <c r="O218" i="8" s="1"/>
  <c r="M219" i="8"/>
  <c r="O219" i="8" s="1"/>
  <c r="M220" i="8"/>
  <c r="O220" i="8" s="1"/>
  <c r="M221" i="8"/>
  <c r="O221" i="8" s="1"/>
  <c r="M222" i="8"/>
  <c r="O222" i="8" s="1"/>
  <c r="M223" i="8"/>
  <c r="O223" i="8" s="1"/>
  <c r="M224" i="8"/>
  <c r="O224" i="8" s="1"/>
  <c r="M225" i="8"/>
  <c r="O225" i="8" s="1"/>
  <c r="M226" i="8"/>
  <c r="O226" i="8" s="1"/>
  <c r="M227" i="8"/>
  <c r="O227" i="8" s="1"/>
  <c r="M228" i="8"/>
  <c r="O228" i="8" s="1"/>
  <c r="M229" i="8"/>
  <c r="O229" i="8" s="1"/>
  <c r="M230" i="8"/>
  <c r="O230" i="8" s="1"/>
  <c r="M231" i="8"/>
  <c r="O231" i="8" s="1"/>
  <c r="M232" i="8"/>
  <c r="O232" i="8" s="1"/>
  <c r="M233" i="8"/>
  <c r="O233" i="8" s="1"/>
  <c r="M234" i="8"/>
  <c r="O234" i="8" s="1"/>
  <c r="M235" i="8"/>
  <c r="O235" i="8" s="1"/>
  <c r="M236" i="8"/>
  <c r="O236" i="8" s="1"/>
  <c r="M237" i="8"/>
  <c r="O237" i="8" s="1"/>
  <c r="M238" i="8"/>
  <c r="O238" i="8" s="1"/>
  <c r="M239" i="8"/>
  <c r="O239" i="8" s="1"/>
  <c r="M240" i="8"/>
  <c r="O240" i="8" s="1"/>
  <c r="M241" i="8"/>
  <c r="O241" i="8" s="1"/>
  <c r="M242" i="8"/>
  <c r="O242" i="8" s="1"/>
  <c r="M243" i="8"/>
  <c r="O243" i="8" s="1"/>
  <c r="M244" i="8"/>
  <c r="O244" i="8" s="1"/>
  <c r="M245" i="8"/>
  <c r="O245" i="8" s="1"/>
  <c r="M246" i="8"/>
  <c r="O246" i="8" s="1"/>
  <c r="M247" i="8"/>
  <c r="O247" i="8" s="1"/>
  <c r="M248" i="8"/>
  <c r="O248" i="8" s="1"/>
  <c r="M249" i="8"/>
  <c r="O249" i="8" s="1"/>
  <c r="M250" i="8"/>
  <c r="O250" i="8" s="1"/>
  <c r="M251" i="8"/>
  <c r="M252" i="8"/>
  <c r="O252" i="8" s="1"/>
  <c r="M253" i="8"/>
  <c r="O253" i="8" s="1"/>
  <c r="M254" i="8"/>
  <c r="O254" i="8" s="1"/>
  <c r="M255" i="8"/>
  <c r="O255" i="8" s="1"/>
  <c r="M256" i="8"/>
  <c r="O256" i="8" s="1"/>
  <c r="M257" i="8"/>
  <c r="O257" i="8" s="1"/>
  <c r="M258" i="8"/>
  <c r="O258" i="8" s="1"/>
  <c r="M259" i="8"/>
  <c r="M260" i="8"/>
  <c r="O260" i="8" s="1"/>
  <c r="M261" i="8"/>
  <c r="O261" i="8" s="1"/>
  <c r="M262" i="8"/>
  <c r="O262" i="8" s="1"/>
  <c r="M263" i="8"/>
  <c r="O263" i="8" s="1"/>
  <c r="M264" i="8"/>
  <c r="O264" i="8" s="1"/>
  <c r="M265" i="8"/>
  <c r="O265" i="8" s="1"/>
  <c r="M266" i="8"/>
  <c r="O266" i="8" s="1"/>
  <c r="M267" i="8"/>
  <c r="O267" i="8" s="1"/>
  <c r="M268" i="8"/>
  <c r="O268" i="8" s="1"/>
  <c r="M269" i="8"/>
  <c r="O269" i="8" s="1"/>
  <c r="M270" i="8"/>
  <c r="O270" i="8" s="1"/>
  <c r="M271" i="8"/>
  <c r="O271" i="8" s="1"/>
  <c r="M272" i="8"/>
  <c r="O272" i="8" s="1"/>
  <c r="M273" i="8"/>
  <c r="O273" i="8" s="1"/>
  <c r="M274" i="8"/>
  <c r="O274" i="8" s="1"/>
  <c r="M275" i="8"/>
  <c r="O275" i="8" s="1"/>
  <c r="M276" i="8"/>
  <c r="O276" i="8" s="1"/>
  <c r="M277" i="8"/>
  <c r="O277" i="8" s="1"/>
  <c r="M278" i="8"/>
  <c r="O278" i="8" s="1"/>
  <c r="M279" i="8"/>
  <c r="O279" i="8" s="1"/>
  <c r="M280" i="8"/>
  <c r="O280" i="8" s="1"/>
  <c r="M281" i="8"/>
  <c r="O281" i="8" s="1"/>
  <c r="M282" i="8"/>
  <c r="O282" i="8" s="1"/>
  <c r="M283" i="8"/>
  <c r="O283" i="8" s="1"/>
  <c r="M284" i="8"/>
  <c r="O284" i="8" s="1"/>
  <c r="M285" i="8"/>
  <c r="O285" i="8" s="1"/>
  <c r="M286" i="8"/>
  <c r="O286" i="8" s="1"/>
  <c r="M287" i="8"/>
  <c r="O287" i="8" s="1"/>
  <c r="M288" i="8"/>
  <c r="O288" i="8" s="1"/>
  <c r="M289" i="8"/>
  <c r="O289" i="8" s="1"/>
  <c r="M290" i="8"/>
  <c r="O290" i="8" s="1"/>
  <c r="M291" i="8"/>
  <c r="O291" i="8" s="1"/>
  <c r="M292" i="8"/>
  <c r="O292" i="8" s="1"/>
  <c r="M293" i="8"/>
  <c r="O293" i="8" s="1"/>
  <c r="M294" i="8"/>
  <c r="O294" i="8" s="1"/>
  <c r="M295" i="8"/>
  <c r="O295" i="8" s="1"/>
  <c r="M296" i="8"/>
  <c r="O296" i="8" s="1"/>
  <c r="M297" i="8"/>
  <c r="O297" i="8" s="1"/>
  <c r="M298" i="8"/>
  <c r="O298" i="8" s="1"/>
  <c r="M299" i="8"/>
  <c r="O299" i="8" s="1"/>
  <c r="M300" i="8"/>
  <c r="O300" i="8" s="1"/>
  <c r="M301" i="8"/>
  <c r="O301" i="8" s="1"/>
  <c r="M302" i="8"/>
  <c r="O302" i="8" s="1"/>
  <c r="M303" i="8"/>
  <c r="O303" i="8" s="1"/>
  <c r="M304" i="8"/>
  <c r="O304" i="8" s="1"/>
  <c r="M305" i="8"/>
  <c r="O305" i="8" s="1"/>
  <c r="M306" i="8"/>
  <c r="O306" i="8" s="1"/>
  <c r="M307" i="8"/>
  <c r="O307" i="8" s="1"/>
  <c r="M308" i="8"/>
  <c r="O308" i="8" s="1"/>
  <c r="M309" i="8"/>
  <c r="O309" i="8" s="1"/>
  <c r="M310" i="8"/>
  <c r="O310" i="8" s="1"/>
  <c r="M311" i="8"/>
  <c r="O311" i="8" s="1"/>
  <c r="M312" i="8"/>
  <c r="O312" i="8" s="1"/>
  <c r="M313" i="8"/>
  <c r="O313" i="8" s="1"/>
  <c r="M314" i="8"/>
  <c r="O314" i="8" s="1"/>
  <c r="M315" i="8"/>
  <c r="O315" i="8" s="1"/>
  <c r="M316" i="8"/>
  <c r="O316" i="8" s="1"/>
  <c r="M317" i="8"/>
  <c r="O317" i="8" s="1"/>
  <c r="M318" i="8"/>
  <c r="O318" i="8" s="1"/>
  <c r="M319" i="8"/>
  <c r="O319" i="8" s="1"/>
  <c r="M320" i="8"/>
  <c r="O320" i="8" s="1"/>
  <c r="M321" i="8"/>
  <c r="O321" i="8" s="1"/>
  <c r="M322" i="8"/>
  <c r="O322" i="8" s="1"/>
  <c r="M323" i="8"/>
  <c r="O323" i="8" s="1"/>
  <c r="M324" i="8"/>
  <c r="O324" i="8" s="1"/>
  <c r="M325" i="8"/>
  <c r="O325" i="8" s="1"/>
  <c r="M326" i="8"/>
  <c r="O326" i="8" s="1"/>
  <c r="M327" i="8"/>
  <c r="O327" i="8" s="1"/>
  <c r="M328" i="8"/>
  <c r="O328" i="8" s="1"/>
  <c r="M329" i="8"/>
  <c r="O329" i="8" s="1"/>
  <c r="M330" i="8"/>
  <c r="O330" i="8" s="1"/>
  <c r="M331" i="8"/>
  <c r="O331" i="8" s="1"/>
  <c r="M332" i="8"/>
  <c r="O332" i="8" s="1"/>
  <c r="M333" i="8"/>
  <c r="O333" i="8" s="1"/>
  <c r="M334" i="8"/>
  <c r="O334" i="8" s="1"/>
  <c r="M335" i="8"/>
  <c r="O335" i="8" s="1"/>
  <c r="M336" i="8"/>
  <c r="O336" i="8" s="1"/>
  <c r="M337" i="8"/>
  <c r="O337" i="8" s="1"/>
  <c r="M338" i="8"/>
  <c r="O338" i="8" s="1"/>
  <c r="M339" i="8"/>
  <c r="O339" i="8" s="1"/>
  <c r="M340" i="8"/>
  <c r="O340" i="8" s="1"/>
  <c r="M341" i="8"/>
  <c r="O341" i="8" s="1"/>
  <c r="M342" i="8"/>
  <c r="O342" i="8" s="1"/>
  <c r="M343" i="8"/>
  <c r="O343" i="8" s="1"/>
  <c r="M344" i="8"/>
  <c r="O344" i="8" s="1"/>
  <c r="M345" i="8"/>
  <c r="O345" i="8" s="1"/>
  <c r="M346" i="8"/>
  <c r="O346" i="8" s="1"/>
  <c r="M347" i="8"/>
  <c r="O347" i="8" s="1"/>
  <c r="M348" i="8"/>
  <c r="O348" i="8" s="1"/>
  <c r="M349" i="8"/>
  <c r="O349" i="8" s="1"/>
  <c r="M350" i="8"/>
  <c r="O350" i="8" s="1"/>
  <c r="M351" i="8"/>
  <c r="O351" i="8" s="1"/>
  <c r="M352" i="8"/>
  <c r="O352" i="8" s="1"/>
  <c r="M353" i="8"/>
  <c r="O353" i="8" s="1"/>
  <c r="M354" i="8"/>
  <c r="O354" i="8" s="1"/>
  <c r="M355" i="8"/>
  <c r="O355" i="8" s="1"/>
  <c r="M356" i="8"/>
  <c r="O356" i="8" s="1"/>
  <c r="M357" i="8"/>
  <c r="O357" i="8" s="1"/>
  <c r="M358" i="8"/>
  <c r="O358" i="8" s="1"/>
  <c r="M359" i="8"/>
  <c r="O359" i="8" s="1"/>
  <c r="M360" i="8"/>
  <c r="O360" i="8" s="1"/>
  <c r="M361" i="8"/>
  <c r="O361" i="8" s="1"/>
  <c r="M362" i="8"/>
  <c r="O362" i="8" s="1"/>
  <c r="M363" i="8"/>
  <c r="O363" i="8" s="1"/>
  <c r="M364" i="8"/>
  <c r="O364" i="8" s="1"/>
  <c r="M365" i="8"/>
  <c r="O365" i="8" s="1"/>
  <c r="M366" i="8"/>
  <c r="O366" i="8" s="1"/>
  <c r="M367" i="8"/>
  <c r="O367" i="8" s="1"/>
  <c r="M368" i="8"/>
  <c r="O368" i="8" s="1"/>
  <c r="M369" i="8"/>
  <c r="O369" i="8" s="1"/>
  <c r="M370" i="8"/>
  <c r="O370" i="8" s="1"/>
  <c r="M371" i="8"/>
  <c r="O371" i="8" s="1"/>
  <c r="M372" i="8"/>
  <c r="O372" i="8" s="1"/>
  <c r="M373" i="8"/>
  <c r="O373" i="8" s="1"/>
  <c r="M374" i="8"/>
  <c r="O374" i="8" s="1"/>
  <c r="M375" i="8"/>
  <c r="O375" i="8" s="1"/>
  <c r="M376" i="8"/>
  <c r="O376" i="8" s="1"/>
  <c r="M377" i="8"/>
  <c r="O377" i="8" s="1"/>
  <c r="M378" i="8"/>
  <c r="O378" i="8" s="1"/>
  <c r="M379" i="8"/>
  <c r="O379" i="8" s="1"/>
  <c r="M380" i="8"/>
  <c r="O380" i="8" s="1"/>
  <c r="M381" i="8"/>
  <c r="O381" i="8" s="1"/>
  <c r="M382" i="8"/>
  <c r="O382" i="8" s="1"/>
  <c r="M383" i="8"/>
  <c r="O383" i="8" s="1"/>
  <c r="M384" i="8"/>
  <c r="O384" i="8" s="1"/>
  <c r="M385" i="8"/>
  <c r="O385" i="8" s="1"/>
  <c r="M386" i="8"/>
  <c r="O386" i="8" s="1"/>
  <c r="M387" i="8"/>
  <c r="O387" i="8" s="1"/>
  <c r="M388" i="8"/>
  <c r="O388" i="8" s="1"/>
  <c r="M389" i="8"/>
  <c r="O389" i="8" s="1"/>
  <c r="M390" i="8"/>
  <c r="O390" i="8" s="1"/>
  <c r="M391" i="8"/>
  <c r="O391" i="8" s="1"/>
  <c r="M392" i="8"/>
  <c r="O392" i="8" s="1"/>
  <c r="M393" i="8"/>
  <c r="O393" i="8" s="1"/>
  <c r="M394" i="8"/>
  <c r="O394" i="8" s="1"/>
  <c r="M395" i="8"/>
  <c r="O395" i="8" s="1"/>
  <c r="M396" i="8"/>
  <c r="O396" i="8" s="1"/>
  <c r="M397" i="8"/>
  <c r="O397" i="8" s="1"/>
  <c r="M398" i="8"/>
  <c r="O398" i="8" s="1"/>
  <c r="M399" i="8"/>
  <c r="O399" i="8" s="1"/>
  <c r="M400" i="8"/>
  <c r="O400" i="8" s="1"/>
  <c r="M401" i="8"/>
  <c r="O401" i="8" s="1"/>
  <c r="M402" i="8"/>
  <c r="O402" i="8" s="1"/>
  <c r="M403" i="8"/>
  <c r="O403" i="8" s="1"/>
  <c r="M404" i="8"/>
  <c r="O404" i="8" s="1"/>
  <c r="M405" i="8"/>
  <c r="O405" i="8" s="1"/>
  <c r="M406" i="8"/>
  <c r="O406" i="8" s="1"/>
  <c r="M407" i="8"/>
  <c r="O407" i="8" s="1"/>
  <c r="M408" i="8"/>
  <c r="O408" i="8" s="1"/>
  <c r="M409" i="8"/>
  <c r="O409" i="8" s="1"/>
  <c r="M410" i="8"/>
  <c r="O410" i="8" s="1"/>
  <c r="M411" i="8"/>
  <c r="O411" i="8" s="1"/>
  <c r="M412" i="8"/>
  <c r="O412" i="8" s="1"/>
  <c r="M413" i="8"/>
  <c r="O413" i="8" s="1"/>
  <c r="M414" i="8"/>
  <c r="O414" i="8" s="1"/>
  <c r="M415" i="8"/>
  <c r="O415" i="8" s="1"/>
  <c r="M416" i="8"/>
  <c r="O416" i="8" s="1"/>
  <c r="M417" i="8"/>
  <c r="O417" i="8" s="1"/>
  <c r="M418" i="8"/>
  <c r="O418" i="8" s="1"/>
  <c r="M419" i="8"/>
  <c r="O419" i="8" s="1"/>
  <c r="M420" i="8"/>
  <c r="O420" i="8" s="1"/>
  <c r="M421" i="8"/>
  <c r="O421" i="8" s="1"/>
  <c r="M422" i="8"/>
  <c r="O422" i="8" s="1"/>
  <c r="M423" i="8"/>
  <c r="O423" i="8" s="1"/>
  <c r="M424" i="8"/>
  <c r="O424" i="8" s="1"/>
  <c r="M425" i="8"/>
  <c r="O425" i="8" s="1"/>
  <c r="M426" i="8"/>
  <c r="O426" i="8" s="1"/>
  <c r="M427" i="8"/>
  <c r="O427" i="8" s="1"/>
  <c r="M428" i="8"/>
  <c r="O428" i="8" s="1"/>
  <c r="M429" i="8"/>
  <c r="O429" i="8" s="1"/>
  <c r="M430" i="8"/>
  <c r="O430" i="8" s="1"/>
  <c r="M431" i="8"/>
  <c r="O431" i="8" s="1"/>
  <c r="M432" i="8"/>
  <c r="O432" i="8" s="1"/>
  <c r="M433" i="8"/>
  <c r="O433" i="8" s="1"/>
  <c r="M434" i="8"/>
  <c r="O434" i="8" s="1"/>
  <c r="M435" i="8"/>
  <c r="O435" i="8" s="1"/>
  <c r="M436" i="8"/>
  <c r="O436" i="8" s="1"/>
  <c r="M437" i="8"/>
  <c r="O437" i="8" s="1"/>
  <c r="M438" i="8"/>
  <c r="O438" i="8" s="1"/>
  <c r="M439" i="8"/>
  <c r="O439" i="8" s="1"/>
  <c r="M440" i="8"/>
  <c r="O440" i="8" s="1"/>
  <c r="M441" i="8"/>
  <c r="O441" i="8" s="1"/>
  <c r="M442" i="8"/>
  <c r="O442" i="8" s="1"/>
  <c r="M443" i="8"/>
  <c r="O443" i="8" s="1"/>
  <c r="M444" i="8"/>
  <c r="O444" i="8" s="1"/>
  <c r="M445" i="8"/>
  <c r="O445" i="8" s="1"/>
  <c r="M446" i="8"/>
  <c r="O446" i="8" s="1"/>
  <c r="M447" i="8"/>
  <c r="O447" i="8" s="1"/>
  <c r="M448" i="8"/>
  <c r="O448" i="8" s="1"/>
  <c r="M449" i="8"/>
  <c r="O449" i="8" s="1"/>
  <c r="M450" i="8"/>
  <c r="O450" i="8" s="1"/>
  <c r="M451" i="8"/>
  <c r="M452" i="8"/>
  <c r="O452" i="8" s="1"/>
  <c r="M453" i="8"/>
  <c r="O453" i="8" s="1"/>
  <c r="M454" i="8"/>
  <c r="O454" i="8" s="1"/>
  <c r="M455" i="8"/>
  <c r="O455" i="8" s="1"/>
  <c r="M456" i="8"/>
  <c r="O456" i="8" s="1"/>
  <c r="M457" i="8"/>
  <c r="O457" i="8" s="1"/>
  <c r="M458" i="8"/>
  <c r="O458" i="8" s="1"/>
  <c r="M459" i="8"/>
  <c r="O459" i="8" s="1"/>
  <c r="M460" i="8"/>
  <c r="O460" i="8" s="1"/>
  <c r="M461" i="8"/>
  <c r="O461" i="8" s="1"/>
  <c r="M462" i="8"/>
  <c r="O462" i="8" s="1"/>
  <c r="M463" i="8"/>
  <c r="O463" i="8" s="1"/>
  <c r="M464" i="8"/>
  <c r="O464" i="8" s="1"/>
  <c r="M465" i="8"/>
  <c r="O465" i="8" s="1"/>
  <c r="M466" i="8"/>
  <c r="O466" i="8" s="1"/>
  <c r="M467" i="8"/>
  <c r="O467" i="8" s="1"/>
  <c r="M468" i="8"/>
  <c r="O468" i="8" s="1"/>
  <c r="M469" i="8"/>
  <c r="O469" i="8" s="1"/>
  <c r="M470" i="8"/>
  <c r="O470" i="8" s="1"/>
  <c r="M471" i="8"/>
  <c r="O471" i="8" s="1"/>
  <c r="M472" i="8"/>
  <c r="O472" i="8" s="1"/>
  <c r="M473" i="8"/>
  <c r="O473" i="8" s="1"/>
  <c r="M474" i="8"/>
  <c r="O474" i="8" s="1"/>
  <c r="M475" i="8"/>
  <c r="O475" i="8" s="1"/>
  <c r="M476" i="8"/>
  <c r="O476" i="8" s="1"/>
  <c r="M477" i="8"/>
  <c r="O477" i="8" s="1"/>
  <c r="M478" i="8"/>
  <c r="O478" i="8" s="1"/>
  <c r="M479" i="8"/>
  <c r="O479" i="8" s="1"/>
  <c r="M480" i="8"/>
  <c r="O480" i="8" s="1"/>
  <c r="M481" i="8"/>
  <c r="O481" i="8" s="1"/>
  <c r="M482" i="8"/>
  <c r="O482" i="8" s="1"/>
  <c r="M483" i="8"/>
  <c r="M484" i="8"/>
  <c r="O484" i="8" s="1"/>
  <c r="M485" i="8"/>
  <c r="O485" i="8" s="1"/>
  <c r="M486" i="8"/>
  <c r="O486" i="8" s="1"/>
  <c r="M487" i="8"/>
  <c r="M488" i="8"/>
  <c r="O488" i="8" s="1"/>
  <c r="M489" i="8"/>
  <c r="O489" i="8" s="1"/>
  <c r="M490" i="8"/>
  <c r="O490" i="8" s="1"/>
  <c r="M491" i="8"/>
  <c r="O491" i="8" s="1"/>
  <c r="M492" i="8"/>
  <c r="O492" i="8" s="1"/>
  <c r="M493" i="8"/>
  <c r="O493" i="8" s="1"/>
  <c r="M494" i="8"/>
  <c r="O494" i="8" s="1"/>
  <c r="M495" i="8"/>
  <c r="O495" i="8" s="1"/>
  <c r="M496" i="8"/>
  <c r="O496" i="8" s="1"/>
  <c r="M497" i="8"/>
  <c r="O497" i="8" s="1"/>
  <c r="M498" i="8"/>
  <c r="O498" i="8" s="1"/>
  <c r="M499" i="8"/>
  <c r="O499" i="8" s="1"/>
  <c r="M500" i="8"/>
  <c r="O500" i="8" s="1"/>
  <c r="M501" i="8"/>
  <c r="O501" i="8" s="1"/>
  <c r="M502" i="8"/>
  <c r="O502" i="8" s="1"/>
  <c r="M503" i="8"/>
  <c r="O503" i="8" s="1"/>
  <c r="M504" i="8"/>
  <c r="O504" i="8" s="1"/>
  <c r="M505" i="8"/>
  <c r="O505" i="8" s="1"/>
  <c r="M506" i="8"/>
  <c r="O506" i="8" s="1"/>
  <c r="M507" i="8"/>
  <c r="O507" i="8" s="1"/>
  <c r="M508" i="8"/>
  <c r="O508" i="8" s="1"/>
  <c r="M509" i="8"/>
  <c r="O509" i="8" s="1"/>
  <c r="M510" i="8"/>
  <c r="O510" i="8" s="1"/>
  <c r="M511" i="8"/>
  <c r="O511" i="8" s="1"/>
  <c r="M512" i="8"/>
  <c r="O512" i="8" s="1"/>
  <c r="M513" i="8"/>
  <c r="O513" i="8" s="1"/>
  <c r="M514" i="8"/>
  <c r="O514" i="8" s="1"/>
  <c r="M515" i="8"/>
  <c r="O515" i="8" s="1"/>
  <c r="M516" i="8"/>
  <c r="O516" i="8" s="1"/>
  <c r="M517" i="8"/>
  <c r="O517" i="8" s="1"/>
  <c r="M518" i="8"/>
  <c r="O518" i="8" s="1"/>
  <c r="M519" i="8"/>
  <c r="O519" i="8" s="1"/>
  <c r="M520" i="8"/>
  <c r="O520" i="8" s="1"/>
  <c r="M521" i="8"/>
  <c r="O521" i="8" s="1"/>
  <c r="M522" i="8"/>
  <c r="O522" i="8" s="1"/>
  <c r="M523" i="8"/>
  <c r="O523" i="8" s="1"/>
  <c r="M524" i="8"/>
  <c r="O524" i="8" s="1"/>
  <c r="M525" i="8"/>
  <c r="O525" i="8" s="1"/>
  <c r="M526" i="8"/>
  <c r="O526" i="8" s="1"/>
  <c r="M527" i="8"/>
  <c r="O527" i="8" s="1"/>
  <c r="M528" i="8"/>
  <c r="O528" i="8" s="1"/>
  <c r="M529" i="8"/>
  <c r="O529" i="8" s="1"/>
  <c r="M530" i="8"/>
  <c r="O530" i="8" s="1"/>
  <c r="M531" i="8"/>
  <c r="O531" i="8" s="1"/>
  <c r="M532" i="8"/>
  <c r="O532" i="8" s="1"/>
  <c r="M533" i="8"/>
  <c r="O533" i="8" s="1"/>
  <c r="M534" i="8"/>
  <c r="O534" i="8" s="1"/>
  <c r="M535" i="8"/>
  <c r="O535" i="8" s="1"/>
  <c r="M536" i="8"/>
  <c r="O536" i="8" s="1"/>
  <c r="M537" i="8"/>
  <c r="O537" i="8" s="1"/>
  <c r="M538" i="8"/>
  <c r="O538" i="8" s="1"/>
  <c r="M539" i="8"/>
  <c r="O539" i="8" s="1"/>
  <c r="M540" i="8"/>
  <c r="O540" i="8" s="1"/>
  <c r="M541" i="8"/>
  <c r="O541" i="8" s="1"/>
  <c r="M542" i="8"/>
  <c r="O542" i="8" s="1"/>
  <c r="M543" i="8"/>
  <c r="O543" i="8" s="1"/>
  <c r="M544" i="8"/>
  <c r="O544" i="8" s="1"/>
  <c r="M545" i="8"/>
  <c r="O545" i="8" s="1"/>
  <c r="M546" i="8"/>
  <c r="O546" i="8" s="1"/>
  <c r="M547" i="8"/>
  <c r="O547" i="8" s="1"/>
  <c r="M548" i="8"/>
  <c r="M549" i="8"/>
  <c r="O549" i="8" s="1"/>
  <c r="M550" i="8"/>
  <c r="O550" i="8" s="1"/>
  <c r="M551" i="8"/>
  <c r="M552" i="8"/>
  <c r="O552" i="8" s="1"/>
  <c r="M553" i="8"/>
  <c r="O553" i="8" s="1"/>
  <c r="M554" i="8"/>
  <c r="O554" i="8" s="1"/>
  <c r="M555" i="8"/>
  <c r="O555" i="8" s="1"/>
  <c r="M556" i="8"/>
  <c r="O556" i="8" s="1"/>
  <c r="M557" i="8"/>
  <c r="O557" i="8" s="1"/>
  <c r="M558" i="8"/>
  <c r="O558" i="8" s="1"/>
  <c r="M559" i="8"/>
  <c r="O559" i="8" s="1"/>
  <c r="M560" i="8"/>
  <c r="O560" i="8" s="1"/>
  <c r="M561" i="8"/>
  <c r="O561" i="8" s="1"/>
  <c r="M562" i="8"/>
  <c r="O562" i="8" s="1"/>
  <c r="M563" i="8"/>
  <c r="O563" i="8" s="1"/>
  <c r="M564" i="8"/>
  <c r="O564" i="8" s="1"/>
  <c r="M565" i="8"/>
  <c r="O565" i="8" s="1"/>
  <c r="M566" i="8"/>
  <c r="O566" i="8" s="1"/>
  <c r="M567" i="8"/>
  <c r="O567" i="8" s="1"/>
  <c r="M568" i="8"/>
  <c r="O568" i="8" s="1"/>
  <c r="M569" i="8"/>
  <c r="O569" i="8" s="1"/>
  <c r="M570" i="8"/>
  <c r="O570" i="8" s="1"/>
  <c r="M571" i="8"/>
  <c r="O571" i="8" s="1"/>
  <c r="M572" i="8"/>
  <c r="O572" i="8" s="1"/>
  <c r="M573" i="8"/>
  <c r="O573" i="8" s="1"/>
  <c r="M574" i="8"/>
  <c r="O574" i="8" s="1"/>
  <c r="M575" i="8"/>
  <c r="O575" i="8" s="1"/>
  <c r="M576" i="8"/>
  <c r="O576" i="8" s="1"/>
  <c r="M577" i="8"/>
  <c r="O577" i="8" s="1"/>
  <c r="M578" i="8"/>
  <c r="O578" i="8" s="1"/>
  <c r="M579" i="8"/>
  <c r="O579" i="8" s="1"/>
  <c r="M580" i="8"/>
  <c r="O580" i="8" s="1"/>
  <c r="M581" i="8"/>
  <c r="O581" i="8" s="1"/>
  <c r="M582" i="8"/>
  <c r="O582" i="8" s="1"/>
  <c r="M583" i="8"/>
  <c r="O583" i="8" s="1"/>
  <c r="M584" i="8"/>
  <c r="O584" i="8" s="1"/>
  <c r="M585" i="8"/>
  <c r="O585" i="8" s="1"/>
  <c r="M586" i="8"/>
  <c r="O586" i="8" s="1"/>
  <c r="M587" i="8"/>
  <c r="O587" i="8" s="1"/>
  <c r="M588" i="8"/>
  <c r="O588" i="8" s="1"/>
  <c r="M589" i="8"/>
  <c r="O589" i="8" s="1"/>
  <c r="M590" i="8"/>
  <c r="O590" i="8" s="1"/>
  <c r="M591" i="8"/>
  <c r="O591" i="8" s="1"/>
  <c r="M592" i="8"/>
  <c r="O592" i="8" s="1"/>
  <c r="M593" i="8"/>
  <c r="O593" i="8" s="1"/>
  <c r="M594" i="8"/>
  <c r="O594" i="8" s="1"/>
  <c r="M595" i="8"/>
  <c r="O595" i="8" s="1"/>
  <c r="M596" i="8"/>
  <c r="O596" i="8" s="1"/>
  <c r="M597" i="8"/>
  <c r="O597" i="8" s="1"/>
  <c r="M598" i="8"/>
  <c r="O598" i="8" s="1"/>
  <c r="M599" i="8"/>
  <c r="O599" i="8" s="1"/>
  <c r="M600" i="8"/>
  <c r="M601" i="8"/>
  <c r="M602" i="8"/>
  <c r="O602" i="8" s="1"/>
  <c r="M603" i="8"/>
  <c r="O603" i="8" s="1"/>
  <c r="M604" i="8"/>
  <c r="O604" i="8" s="1"/>
  <c r="M605" i="8"/>
  <c r="O605" i="8" s="1"/>
  <c r="M606" i="8"/>
  <c r="O606" i="8" s="1"/>
  <c r="M607" i="8"/>
  <c r="O607" i="8" s="1"/>
  <c r="M608" i="8"/>
  <c r="O608" i="8" s="1"/>
  <c r="M609" i="8"/>
  <c r="O609" i="8" s="1"/>
  <c r="M610" i="8"/>
  <c r="O610" i="8" s="1"/>
  <c r="M611" i="8"/>
  <c r="O611" i="8" s="1"/>
  <c r="M612" i="8"/>
  <c r="O612" i="8" s="1"/>
  <c r="M613" i="8"/>
  <c r="O613" i="8" s="1"/>
  <c r="M614" i="8"/>
  <c r="O614" i="8" s="1"/>
  <c r="M615" i="8"/>
  <c r="O615" i="8" s="1"/>
  <c r="M616" i="8"/>
  <c r="O616" i="8" s="1"/>
  <c r="M617" i="8"/>
  <c r="O617" i="8" s="1"/>
  <c r="M618" i="8"/>
  <c r="O618" i="8" s="1"/>
  <c r="M619" i="8"/>
  <c r="O619" i="8" s="1"/>
  <c r="M620" i="8"/>
  <c r="O620" i="8" s="1"/>
  <c r="M621" i="8"/>
  <c r="O621" i="8" s="1"/>
  <c r="M622" i="8"/>
  <c r="O622" i="8" s="1"/>
  <c r="M623" i="8"/>
  <c r="O623" i="8" s="1"/>
  <c r="M624" i="8"/>
  <c r="O624" i="8" s="1"/>
  <c r="M625" i="8"/>
  <c r="O625" i="8" s="1"/>
  <c r="M626" i="8"/>
  <c r="O626" i="8" s="1"/>
  <c r="M627" i="8"/>
  <c r="O627" i="8" s="1"/>
  <c r="M628" i="8"/>
  <c r="O628" i="8" s="1"/>
  <c r="M629" i="8"/>
  <c r="O629" i="8" s="1"/>
  <c r="M630" i="8"/>
  <c r="M631" i="8"/>
  <c r="O631" i="8" s="1"/>
  <c r="M632" i="8"/>
  <c r="O632" i="8" s="1"/>
  <c r="M633" i="8"/>
  <c r="O633" i="8" s="1"/>
  <c r="M634" i="8"/>
  <c r="O634" i="8" s="1"/>
  <c r="M635" i="8"/>
  <c r="O635" i="8" s="1"/>
  <c r="M636" i="8"/>
  <c r="O636" i="8" s="1"/>
  <c r="M637" i="8"/>
  <c r="O637" i="8" s="1"/>
  <c r="M638" i="8"/>
  <c r="M639" i="8"/>
  <c r="M640" i="8"/>
  <c r="O640" i="8" s="1"/>
  <c r="M641" i="8"/>
  <c r="O641" i="8" s="1"/>
  <c r="M642" i="8"/>
  <c r="O642" i="8" s="1"/>
  <c r="M643" i="8"/>
  <c r="O643" i="8" s="1"/>
  <c r="M644" i="8"/>
  <c r="O644" i="8" s="1"/>
  <c r="M645" i="8"/>
  <c r="O645" i="8" s="1"/>
  <c r="M646" i="8"/>
  <c r="O646" i="8" s="1"/>
  <c r="M647" i="8"/>
  <c r="O647" i="8" s="1"/>
  <c r="M648" i="8"/>
  <c r="O648" i="8" s="1"/>
  <c r="M649" i="8"/>
  <c r="O649" i="8" s="1"/>
  <c r="M650" i="8"/>
  <c r="O650" i="8" s="1"/>
  <c r="M651" i="8"/>
  <c r="O651" i="8" s="1"/>
  <c r="M652" i="8"/>
  <c r="O652" i="8" s="1"/>
  <c r="M653" i="8"/>
  <c r="O653" i="8" s="1"/>
  <c r="M654" i="8"/>
  <c r="O654" i="8" s="1"/>
  <c r="M655" i="8"/>
  <c r="O655" i="8" s="1"/>
  <c r="M656" i="8"/>
  <c r="O656" i="8" s="1"/>
  <c r="M657" i="8"/>
  <c r="O657" i="8" s="1"/>
  <c r="M658" i="8"/>
  <c r="O658" i="8" s="1"/>
  <c r="M659" i="8"/>
  <c r="O659" i="8" s="1"/>
  <c r="M660" i="8"/>
  <c r="O660" i="8" s="1"/>
  <c r="M661" i="8"/>
  <c r="O661" i="8" s="1"/>
  <c r="M662" i="8"/>
  <c r="O662" i="8" s="1"/>
  <c r="M663" i="8"/>
  <c r="O663" i="8" s="1"/>
  <c r="M664" i="8"/>
  <c r="O664" i="8" s="1"/>
  <c r="M665" i="8"/>
  <c r="O665" i="8" s="1"/>
  <c r="M666" i="8"/>
  <c r="O666" i="8" s="1"/>
  <c r="M667" i="8"/>
  <c r="M668" i="8"/>
  <c r="O668" i="8" s="1"/>
  <c r="M669" i="8"/>
  <c r="O669" i="8" s="1"/>
  <c r="M670" i="8"/>
  <c r="O670" i="8" s="1"/>
  <c r="M671" i="8"/>
  <c r="O671" i="8" s="1"/>
  <c r="M672" i="8"/>
  <c r="O672" i="8" s="1"/>
  <c r="M673" i="8"/>
  <c r="O673" i="8" s="1"/>
  <c r="M674" i="8"/>
  <c r="O674" i="8" s="1"/>
  <c r="M675" i="8"/>
  <c r="M676" i="8"/>
  <c r="M677" i="8"/>
  <c r="O677" i="8" s="1"/>
  <c r="M678" i="8"/>
  <c r="O678" i="8" s="1"/>
  <c r="M679" i="8"/>
  <c r="O679" i="8" s="1"/>
  <c r="M680" i="8"/>
  <c r="O680" i="8" s="1"/>
  <c r="M681" i="8"/>
  <c r="O681" i="8" s="1"/>
  <c r="M682" i="8"/>
  <c r="O682" i="8" s="1"/>
  <c r="M683" i="8"/>
  <c r="O683" i="8" s="1"/>
  <c r="M684" i="8"/>
  <c r="O684" i="8" s="1"/>
  <c r="M685" i="8"/>
  <c r="O685" i="8" s="1"/>
  <c r="M686" i="8"/>
  <c r="O686" i="8" s="1"/>
  <c r="M687" i="8"/>
  <c r="O687" i="8" s="1"/>
  <c r="M688" i="8"/>
  <c r="O688" i="8" s="1"/>
  <c r="M689" i="8"/>
  <c r="O689" i="8" s="1"/>
  <c r="M690" i="8"/>
  <c r="O690" i="8" s="1"/>
  <c r="M691" i="8"/>
  <c r="O691" i="8" s="1"/>
  <c r="M692" i="8"/>
  <c r="O692" i="8" s="1"/>
  <c r="M693" i="8"/>
  <c r="O693" i="8" s="1"/>
  <c r="M694" i="8"/>
  <c r="O694" i="8" s="1"/>
  <c r="M695" i="8"/>
  <c r="O695" i="8" s="1"/>
  <c r="M696" i="8"/>
  <c r="O696" i="8" s="1"/>
  <c r="M697" i="8"/>
  <c r="O697" i="8" s="1"/>
  <c r="M698" i="8"/>
  <c r="O698" i="8" s="1"/>
  <c r="M699" i="8"/>
  <c r="O699" i="8" s="1"/>
  <c r="M700" i="8"/>
  <c r="O700" i="8" s="1"/>
  <c r="M701" i="8"/>
  <c r="O701" i="8" s="1"/>
  <c r="M702" i="8"/>
  <c r="O702" i="8" s="1"/>
  <c r="M703" i="8"/>
  <c r="O703" i="8" s="1"/>
  <c r="M704" i="8"/>
  <c r="O704" i="8" s="1"/>
  <c r="M705" i="8"/>
  <c r="O705" i="8" s="1"/>
  <c r="M706" i="8"/>
  <c r="O706" i="8" s="1"/>
  <c r="M707" i="8"/>
  <c r="O707" i="8" s="1"/>
  <c r="M708" i="8"/>
  <c r="M709" i="8"/>
  <c r="M710" i="8"/>
  <c r="O710" i="8" s="1"/>
  <c r="M711" i="8"/>
  <c r="O711" i="8" s="1"/>
  <c r="M712" i="8"/>
  <c r="O712" i="8" s="1"/>
  <c r="M713" i="8"/>
  <c r="O713" i="8" s="1"/>
  <c r="M714" i="8"/>
  <c r="O714" i="8" s="1"/>
  <c r="M715" i="8"/>
  <c r="O715" i="8" s="1"/>
  <c r="M716" i="8"/>
  <c r="O716" i="8" s="1"/>
  <c r="M717" i="8"/>
  <c r="O717" i="8" s="1"/>
  <c r="M718" i="8"/>
  <c r="O718" i="8" s="1"/>
  <c r="M719" i="8"/>
  <c r="O719" i="8" s="1"/>
  <c r="M720" i="8"/>
  <c r="O720" i="8" s="1"/>
  <c r="M721" i="8"/>
  <c r="O721" i="8" s="1"/>
  <c r="M722" i="8"/>
  <c r="O722" i="8" s="1"/>
  <c r="M723" i="8"/>
  <c r="O723" i="8" s="1"/>
  <c r="M724" i="8"/>
  <c r="O724" i="8" s="1"/>
  <c r="M725" i="8"/>
  <c r="O725" i="8" s="1"/>
  <c r="M726" i="8"/>
  <c r="O726" i="8" s="1"/>
  <c r="M727" i="8"/>
  <c r="O727" i="8" s="1"/>
  <c r="M728" i="8"/>
  <c r="O728" i="8" s="1"/>
  <c r="M729" i="8"/>
  <c r="O729" i="8" s="1"/>
  <c r="M730" i="8"/>
  <c r="O730" i="8" s="1"/>
  <c r="M731" i="8"/>
  <c r="O731" i="8" s="1"/>
  <c r="M732" i="8"/>
  <c r="O732" i="8" s="1"/>
  <c r="M733" i="8"/>
  <c r="O733" i="8" s="1"/>
  <c r="M734" i="8"/>
  <c r="O734" i="8" s="1"/>
  <c r="M735" i="8"/>
  <c r="O735" i="8" s="1"/>
  <c r="M736" i="8"/>
  <c r="O736" i="8" s="1"/>
  <c r="M737" i="8"/>
  <c r="O737" i="8" s="1"/>
  <c r="M738" i="8"/>
  <c r="O738" i="8" s="1"/>
  <c r="M739" i="8"/>
  <c r="O739" i="8" s="1"/>
  <c r="M740" i="8"/>
  <c r="M741" i="8"/>
  <c r="M742" i="8"/>
  <c r="O742" i="8" s="1"/>
  <c r="M743" i="8"/>
  <c r="O743" i="8" s="1"/>
  <c r="M744" i="8"/>
  <c r="O744" i="8" s="1"/>
  <c r="M745" i="8"/>
  <c r="O745" i="8" s="1"/>
  <c r="M746" i="8"/>
  <c r="O746" i="8" s="1"/>
  <c r="M747" i="8"/>
  <c r="O747" i="8" s="1"/>
  <c r="M748" i="8"/>
  <c r="O748" i="8" s="1"/>
  <c r="M749" i="8"/>
  <c r="O749" i="8" s="1"/>
  <c r="M750" i="8"/>
  <c r="O750" i="8" s="1"/>
  <c r="M751" i="8"/>
  <c r="O751" i="8" s="1"/>
  <c r="M752" i="8"/>
  <c r="O752" i="8" s="1"/>
  <c r="M753" i="8"/>
  <c r="O753" i="8" s="1"/>
  <c r="M754" i="8"/>
  <c r="O754" i="8" s="1"/>
  <c r="M755" i="8"/>
  <c r="O755" i="8" s="1"/>
  <c r="M756" i="8"/>
  <c r="O756" i="8" s="1"/>
  <c r="M757" i="8"/>
  <c r="O757" i="8" s="1"/>
  <c r="M758" i="8"/>
  <c r="O758" i="8" s="1"/>
  <c r="M759" i="8"/>
  <c r="O759" i="8" s="1"/>
  <c r="M760" i="8"/>
  <c r="O760" i="8" s="1"/>
  <c r="M761" i="8"/>
  <c r="O761" i="8" s="1"/>
  <c r="M762" i="8"/>
  <c r="O762" i="8" s="1"/>
  <c r="M763" i="8"/>
  <c r="O763" i="8" s="1"/>
  <c r="M764" i="8"/>
  <c r="O764" i="8" s="1"/>
  <c r="M765" i="8"/>
  <c r="M766" i="8"/>
  <c r="O766" i="8" s="1"/>
  <c r="M767" i="8"/>
  <c r="O767" i="8" s="1"/>
  <c r="M768" i="8"/>
  <c r="O768" i="8" s="1"/>
  <c r="M769" i="8"/>
  <c r="O769" i="8" s="1"/>
  <c r="M770" i="8"/>
  <c r="O770" i="8" s="1"/>
  <c r="M771" i="8"/>
  <c r="M772" i="8"/>
  <c r="O772" i="8" s="1"/>
  <c r="M773" i="8"/>
  <c r="O773" i="8" s="1"/>
  <c r="M774" i="8"/>
  <c r="O774" i="8" s="1"/>
  <c r="M775" i="8"/>
  <c r="O775" i="8" s="1"/>
  <c r="M776" i="8"/>
  <c r="O776" i="8" s="1"/>
  <c r="M777" i="8"/>
  <c r="O777" i="8" s="1"/>
  <c r="M778" i="8"/>
  <c r="O778" i="8" s="1"/>
  <c r="M779" i="8"/>
  <c r="O779" i="8" s="1"/>
  <c r="M780" i="8"/>
  <c r="O780" i="8" s="1"/>
  <c r="M781" i="8"/>
  <c r="O781" i="8" s="1"/>
  <c r="M782" i="8"/>
  <c r="O782" i="8" s="1"/>
  <c r="M783" i="8"/>
  <c r="O783" i="8" s="1"/>
  <c r="M784" i="8"/>
  <c r="O784" i="8" s="1"/>
  <c r="M785" i="8"/>
  <c r="O785" i="8" s="1"/>
  <c r="M786" i="8"/>
  <c r="O786" i="8" s="1"/>
  <c r="M787" i="8"/>
  <c r="M788" i="8"/>
  <c r="M789" i="8"/>
  <c r="M790" i="8"/>
  <c r="O790" i="8" s="1"/>
  <c r="M791" i="8"/>
  <c r="O791" i="8" s="1"/>
  <c r="M792" i="8"/>
  <c r="O792" i="8" s="1"/>
  <c r="M793" i="8"/>
  <c r="O793" i="8" s="1"/>
  <c r="M794" i="8"/>
  <c r="O794" i="8" s="1"/>
  <c r="M795" i="8"/>
  <c r="O795" i="8" s="1"/>
  <c r="M796" i="8"/>
  <c r="O796" i="8" s="1"/>
  <c r="M797" i="8"/>
  <c r="O797" i="8" s="1"/>
  <c r="M798" i="8"/>
  <c r="O798" i="8" s="1"/>
  <c r="M799" i="8"/>
  <c r="O799" i="8" s="1"/>
  <c r="M800" i="8"/>
  <c r="O800" i="8" s="1"/>
  <c r="M801" i="8"/>
  <c r="O801" i="8" s="1"/>
  <c r="M802" i="8"/>
  <c r="O802" i="8" s="1"/>
  <c r="M803" i="8"/>
  <c r="O803" i="8" s="1"/>
  <c r="M804" i="8"/>
  <c r="O804" i="8" s="1"/>
  <c r="M805" i="8"/>
  <c r="O805" i="8" s="1"/>
  <c r="M806" i="8"/>
  <c r="O806" i="8" s="1"/>
  <c r="M807" i="8"/>
  <c r="O807" i="8" s="1"/>
  <c r="M808" i="8"/>
  <c r="O808" i="8" s="1"/>
  <c r="M809" i="8"/>
  <c r="O809" i="8" s="1"/>
  <c r="M810" i="8"/>
  <c r="O810" i="8" s="1"/>
  <c r="M811" i="8"/>
  <c r="M812" i="8"/>
  <c r="M813" i="8"/>
  <c r="O813" i="8" s="1"/>
  <c r="M814" i="8"/>
  <c r="O814" i="8" s="1"/>
  <c r="M815" i="8"/>
  <c r="O815" i="8" s="1"/>
  <c r="M816" i="8"/>
  <c r="O816" i="8" s="1"/>
  <c r="M817" i="8"/>
  <c r="O817" i="8" s="1"/>
  <c r="M818" i="8"/>
  <c r="O818" i="8" s="1"/>
  <c r="M819" i="8"/>
  <c r="O819" i="8" s="1"/>
  <c r="M820" i="8"/>
  <c r="O820" i="8" s="1"/>
  <c r="M821" i="8"/>
  <c r="O821" i="8" s="1"/>
  <c r="M822" i="8"/>
  <c r="O822" i="8" s="1"/>
  <c r="M823" i="8"/>
  <c r="O823" i="8" s="1"/>
  <c r="M824" i="8"/>
  <c r="O824" i="8" s="1"/>
  <c r="M825" i="8"/>
  <c r="O825" i="8" s="1"/>
  <c r="M826" i="8"/>
  <c r="O826" i="8" s="1"/>
  <c r="M827" i="8"/>
  <c r="O827" i="8" s="1"/>
  <c r="M828" i="8"/>
  <c r="O828" i="8" s="1"/>
  <c r="M829" i="8"/>
  <c r="M830" i="8"/>
  <c r="O830" i="8" s="1"/>
  <c r="M831" i="8"/>
  <c r="O831" i="8" s="1"/>
  <c r="M832" i="8"/>
  <c r="O832" i="8" s="1"/>
  <c r="M833" i="8"/>
  <c r="O833" i="8" s="1"/>
  <c r="M834" i="8"/>
  <c r="O834" i="8" s="1"/>
  <c r="M835" i="8"/>
  <c r="M836" i="8"/>
  <c r="O836" i="8" s="1"/>
  <c r="M837" i="8"/>
  <c r="O837" i="8" s="1"/>
  <c r="M838" i="8"/>
  <c r="O838" i="8" s="1"/>
  <c r="M839" i="8"/>
  <c r="O839" i="8" s="1"/>
  <c r="M840" i="8"/>
  <c r="O840" i="8" s="1"/>
  <c r="M841" i="8"/>
  <c r="O841" i="8" s="1"/>
  <c r="M842" i="8"/>
  <c r="O842" i="8" s="1"/>
  <c r="M843" i="8"/>
  <c r="O843" i="8" s="1"/>
  <c r="M844" i="8"/>
  <c r="O844" i="8" s="1"/>
  <c r="M845" i="8"/>
  <c r="O845" i="8" s="1"/>
  <c r="M846" i="8"/>
  <c r="O846" i="8" s="1"/>
  <c r="M847" i="8"/>
  <c r="O847" i="8" s="1"/>
  <c r="M848" i="8"/>
  <c r="O848" i="8" s="1"/>
  <c r="M849" i="8"/>
  <c r="O849" i="8" s="1"/>
  <c r="M850" i="8"/>
  <c r="O850" i="8" s="1"/>
  <c r="M851" i="8"/>
  <c r="M852" i="8"/>
  <c r="M853" i="8"/>
  <c r="M854" i="8"/>
  <c r="O854" i="8" s="1"/>
  <c r="M855" i="8"/>
  <c r="O855" i="8" s="1"/>
  <c r="M856" i="8"/>
  <c r="O856" i="8" s="1"/>
  <c r="M857" i="8"/>
  <c r="O857" i="8" s="1"/>
  <c r="M858" i="8"/>
  <c r="O858" i="8" s="1"/>
  <c r="M859" i="8"/>
  <c r="O859" i="8" s="1"/>
  <c r="M860" i="8"/>
  <c r="O860" i="8" s="1"/>
  <c r="M861" i="8"/>
  <c r="O861" i="8" s="1"/>
  <c r="M862" i="8"/>
  <c r="O862" i="8" s="1"/>
  <c r="M863" i="8"/>
  <c r="O863" i="8" s="1"/>
  <c r="M864" i="8"/>
  <c r="O864" i="8" s="1"/>
  <c r="M865" i="8"/>
  <c r="O865" i="8" s="1"/>
  <c r="M866" i="8"/>
  <c r="O866" i="8" s="1"/>
  <c r="M867" i="8"/>
  <c r="O867" i="8" s="1"/>
  <c r="M868" i="8"/>
  <c r="O868" i="8" s="1"/>
  <c r="M869" i="8"/>
  <c r="M870" i="8"/>
  <c r="O870" i="8" s="1"/>
  <c r="M871" i="8"/>
  <c r="O871" i="8" s="1"/>
  <c r="M872" i="8"/>
  <c r="O872" i="8" s="1"/>
  <c r="M873" i="8"/>
  <c r="O873" i="8" s="1"/>
  <c r="M874" i="8"/>
  <c r="O874" i="8" s="1"/>
  <c r="M875" i="8"/>
  <c r="O875" i="8" s="1"/>
  <c r="M876" i="8"/>
  <c r="O876" i="8" s="1"/>
  <c r="M877" i="8"/>
  <c r="O877" i="8" s="1"/>
  <c r="M878" i="8"/>
  <c r="O878" i="8" s="1"/>
  <c r="M879" i="8"/>
  <c r="O879" i="8" s="1"/>
  <c r="M880" i="8"/>
  <c r="O880" i="8" s="1"/>
  <c r="M881" i="8"/>
  <c r="O881" i="8" s="1"/>
  <c r="M882" i="8"/>
  <c r="O882" i="8" s="1"/>
  <c r="M883" i="8"/>
  <c r="O883" i="8" s="1"/>
  <c r="M884" i="8"/>
  <c r="O884" i="8" s="1"/>
  <c r="M885" i="8"/>
  <c r="M886" i="8"/>
  <c r="O886" i="8" s="1"/>
  <c r="M887" i="8"/>
  <c r="O887" i="8" s="1"/>
  <c r="M888" i="8"/>
  <c r="O888" i="8" s="1"/>
  <c r="M889" i="8"/>
  <c r="O889" i="8" s="1"/>
  <c r="M890" i="8"/>
  <c r="O890" i="8" s="1"/>
  <c r="M891" i="8"/>
  <c r="O891" i="8" s="1"/>
  <c r="M892" i="8"/>
  <c r="O892" i="8" s="1"/>
  <c r="M893" i="8"/>
  <c r="O893" i="8" s="1"/>
  <c r="M894" i="8"/>
  <c r="O894" i="8" s="1"/>
  <c r="M895" i="8"/>
  <c r="O895" i="8" s="1"/>
  <c r="M896" i="8"/>
  <c r="O896" i="8" s="1"/>
  <c r="M897" i="8"/>
  <c r="O897" i="8" s="1"/>
  <c r="M898" i="8"/>
  <c r="O898" i="8" s="1"/>
  <c r="M899" i="8"/>
  <c r="O899" i="8" s="1"/>
  <c r="M900" i="8"/>
  <c r="O900" i="8" s="1"/>
  <c r="M901" i="8"/>
  <c r="M902" i="8"/>
  <c r="O902" i="8" s="1"/>
  <c r="M903" i="8"/>
  <c r="O903" i="8" s="1"/>
  <c r="M904" i="8"/>
  <c r="O904" i="8" s="1"/>
  <c r="M905" i="8"/>
  <c r="O905" i="8" s="1"/>
  <c r="M906" i="8"/>
  <c r="O906" i="8" s="1"/>
  <c r="M907" i="8"/>
  <c r="O907" i="8" s="1"/>
  <c r="M908" i="8"/>
  <c r="O908" i="8" s="1"/>
  <c r="M909" i="8"/>
  <c r="O909" i="8" s="1"/>
  <c r="M910" i="8"/>
  <c r="O910" i="8" s="1"/>
  <c r="M911" i="8"/>
  <c r="O911" i="8" s="1"/>
  <c r="M912" i="8"/>
  <c r="O912" i="8" s="1"/>
  <c r="M913" i="8"/>
  <c r="O913" i="8" s="1"/>
  <c r="M914" i="8"/>
  <c r="O914" i="8" s="1"/>
  <c r="M915" i="8"/>
  <c r="O915" i="8" s="1"/>
  <c r="M916" i="8"/>
  <c r="O916" i="8" s="1"/>
  <c r="M917" i="8"/>
  <c r="M918" i="8"/>
  <c r="O918" i="8" s="1"/>
  <c r="M919" i="8"/>
  <c r="M920" i="8"/>
  <c r="O920" i="8" s="1"/>
  <c r="M921" i="8"/>
  <c r="O921" i="8" s="1"/>
  <c r="M922" i="8"/>
  <c r="O922" i="8" s="1"/>
  <c r="M923" i="8"/>
  <c r="O923" i="8" s="1"/>
  <c r="M924" i="8"/>
  <c r="O924" i="8" s="1"/>
  <c r="M925" i="8"/>
  <c r="O925" i="8" s="1"/>
  <c r="M926" i="8"/>
  <c r="O926" i="8" s="1"/>
  <c r="M927" i="8"/>
  <c r="O927" i="8" s="1"/>
  <c r="M928" i="8"/>
  <c r="O928" i="8" s="1"/>
  <c r="M929" i="8"/>
  <c r="O929" i="8" s="1"/>
  <c r="M930" i="8"/>
  <c r="O930" i="8" s="1"/>
  <c r="M931" i="8"/>
  <c r="M932" i="8"/>
  <c r="M933" i="8"/>
  <c r="O933" i="8" s="1"/>
  <c r="M934" i="8"/>
  <c r="O934" i="8" s="1"/>
  <c r="M935" i="8"/>
  <c r="O935" i="8" s="1"/>
  <c r="M936" i="8"/>
  <c r="O936" i="8" s="1"/>
  <c r="M937" i="8"/>
  <c r="O937" i="8" s="1"/>
  <c r="M938" i="8"/>
  <c r="O938" i="8" s="1"/>
  <c r="M939" i="8"/>
  <c r="O939" i="8" s="1"/>
  <c r="M940" i="8"/>
  <c r="O940" i="8" s="1"/>
  <c r="M941" i="8"/>
  <c r="O941" i="8" s="1"/>
  <c r="M942" i="8"/>
  <c r="O942" i="8" s="1"/>
  <c r="M943" i="8"/>
  <c r="M944" i="8"/>
  <c r="O944" i="8" s="1"/>
  <c r="M945" i="8"/>
  <c r="O945" i="8" s="1"/>
  <c r="M946" i="8"/>
  <c r="O946" i="8" s="1"/>
  <c r="M947" i="8"/>
  <c r="O947" i="8" s="1"/>
  <c r="M948" i="8"/>
  <c r="O948" i="8" s="1"/>
  <c r="M949" i="8"/>
  <c r="O949" i="8" s="1"/>
  <c r="M950" i="8"/>
  <c r="O950" i="8" s="1"/>
  <c r="M951" i="8"/>
  <c r="O951" i="8" s="1"/>
  <c r="M952" i="8"/>
  <c r="O952" i="8" s="1"/>
  <c r="M953" i="8"/>
  <c r="O953" i="8" s="1"/>
  <c r="M954" i="8"/>
  <c r="O954" i="8" s="1"/>
  <c r="M955" i="8"/>
  <c r="M956" i="8"/>
  <c r="M957" i="8"/>
  <c r="M958" i="8"/>
  <c r="O958" i="8" s="1"/>
  <c r="M959" i="8"/>
  <c r="O959" i="8" s="1"/>
  <c r="M960" i="8"/>
  <c r="O960" i="8" s="1"/>
  <c r="M961" i="8"/>
  <c r="O961" i="8" s="1"/>
  <c r="M962" i="8"/>
  <c r="O962" i="8" s="1"/>
  <c r="M963" i="8"/>
  <c r="O963" i="8" s="1"/>
  <c r="M964" i="8"/>
  <c r="O964" i="8" s="1"/>
  <c r="M965" i="8"/>
  <c r="O965" i="8" s="1"/>
  <c r="M966" i="8"/>
  <c r="O966" i="8" s="1"/>
  <c r="M967" i="8"/>
  <c r="O967" i="8" s="1"/>
  <c r="M968" i="8"/>
  <c r="O968" i="8" s="1"/>
  <c r="M969" i="8"/>
  <c r="O969" i="8" s="1"/>
  <c r="M970" i="8"/>
  <c r="O970" i="8" s="1"/>
  <c r="M971" i="8"/>
  <c r="M972" i="8"/>
  <c r="O972" i="8" s="1"/>
  <c r="M973" i="8"/>
  <c r="O973" i="8" s="1"/>
  <c r="M974" i="8"/>
  <c r="O974" i="8" s="1"/>
  <c r="M975" i="8"/>
  <c r="O975" i="8" s="1"/>
  <c r="M976" i="8"/>
  <c r="O976" i="8" s="1"/>
  <c r="M977" i="8"/>
  <c r="O977" i="8" s="1"/>
  <c r="M978" i="8"/>
  <c r="O978" i="8" s="1"/>
  <c r="M979" i="8"/>
  <c r="O979" i="8" s="1"/>
  <c r="M980" i="8"/>
  <c r="O980" i="8" s="1"/>
  <c r="M981" i="8"/>
  <c r="M982" i="8"/>
  <c r="O982" i="8" s="1"/>
  <c r="M983" i="8"/>
  <c r="M984" i="8"/>
  <c r="O984" i="8" s="1"/>
  <c r="M985" i="8"/>
  <c r="O985" i="8" s="1"/>
  <c r="M986" i="8"/>
  <c r="O986" i="8" s="1"/>
  <c r="M987" i="8"/>
  <c r="O987" i="8" s="1"/>
  <c r="M988" i="8"/>
  <c r="O988" i="8" s="1"/>
  <c r="M989" i="8"/>
  <c r="O989" i="8" s="1"/>
  <c r="M990" i="8"/>
  <c r="O990" i="8" s="1"/>
  <c r="M991" i="8"/>
  <c r="O991" i="8" s="1"/>
  <c r="M992" i="8"/>
  <c r="O992" i="8" s="1"/>
  <c r="M993" i="8"/>
  <c r="O993" i="8" s="1"/>
  <c r="M994" i="8"/>
  <c r="O994" i="8" s="1"/>
  <c r="M995" i="8"/>
  <c r="M996" i="8"/>
  <c r="M997" i="8"/>
  <c r="O997" i="8" s="1"/>
  <c r="M998" i="8"/>
  <c r="O998" i="8" s="1"/>
  <c r="M999" i="8"/>
  <c r="O999" i="8" s="1"/>
  <c r="M1000" i="8"/>
  <c r="O1000" i="8" s="1"/>
  <c r="M1001" i="8"/>
  <c r="O1001" i="8" s="1"/>
  <c r="M1002" i="8"/>
  <c r="O1002" i="8" s="1"/>
  <c r="M1003" i="8"/>
  <c r="O1003" i="8" s="1"/>
  <c r="M1004" i="8"/>
  <c r="O1004" i="8" s="1"/>
  <c r="M1005" i="8"/>
  <c r="O1005" i="8" s="1"/>
  <c r="M1006" i="8"/>
  <c r="O1006" i="8" s="1"/>
  <c r="M1007" i="8"/>
  <c r="M1008" i="8"/>
  <c r="O1008" i="8" s="1"/>
  <c r="M1009" i="8"/>
  <c r="O1009" i="8" s="1"/>
  <c r="M1010" i="8"/>
  <c r="O1010" i="8" s="1"/>
  <c r="M1011" i="8"/>
  <c r="O1011" i="8" s="1"/>
  <c r="M1012" i="8"/>
  <c r="O1012" i="8" s="1"/>
  <c r="M1013" i="8"/>
  <c r="O1013" i="8" s="1"/>
  <c r="M1014" i="8"/>
  <c r="O1014" i="8" s="1"/>
  <c r="M1015" i="8"/>
  <c r="O1015" i="8" s="1"/>
  <c r="M1016" i="8"/>
  <c r="O1016" i="8" s="1"/>
  <c r="M1017" i="8"/>
  <c r="O1017" i="8" s="1"/>
  <c r="M1018" i="8"/>
  <c r="O1018" i="8" s="1"/>
  <c r="M1019" i="8"/>
  <c r="M1020" i="8"/>
  <c r="M1021" i="8"/>
  <c r="M1022" i="8"/>
  <c r="O1022" i="8" s="1"/>
  <c r="M1023" i="8"/>
  <c r="O1023" i="8" s="1"/>
  <c r="M1024" i="8"/>
  <c r="O1024" i="8" s="1"/>
  <c r="M1025" i="8"/>
  <c r="O1025" i="8" s="1"/>
  <c r="M1026" i="8"/>
  <c r="O1026" i="8" s="1"/>
  <c r="M1027" i="8"/>
  <c r="O1027" i="8" s="1"/>
  <c r="M1028" i="8"/>
  <c r="O1028" i="8" s="1"/>
  <c r="M1029" i="8"/>
  <c r="O1029" i="8" s="1"/>
  <c r="M1030" i="8"/>
  <c r="O1030" i="8" s="1"/>
  <c r="M1031" i="8"/>
  <c r="O1031" i="8" s="1"/>
  <c r="M1032" i="8"/>
  <c r="O1032" i="8" s="1"/>
  <c r="M1033" i="8"/>
  <c r="O1033" i="8" s="1"/>
  <c r="M1034" i="8"/>
  <c r="O1034" i="8" s="1"/>
  <c r="M1035" i="8"/>
  <c r="M1036" i="8"/>
  <c r="O1036" i="8" s="1"/>
  <c r="M1037" i="8"/>
  <c r="O1037" i="8" s="1"/>
  <c r="M1038" i="8"/>
  <c r="O1038" i="8" s="1"/>
  <c r="M1039" i="8"/>
  <c r="O1039" i="8" s="1"/>
  <c r="M1040" i="8"/>
  <c r="O1040" i="8" s="1"/>
  <c r="M1041" i="8"/>
  <c r="O1041" i="8" s="1"/>
  <c r="M1042" i="8"/>
  <c r="O1042" i="8" s="1"/>
  <c r="M1043" i="8"/>
  <c r="O1043" i="8" s="1"/>
  <c r="M1044" i="8"/>
  <c r="O1044" i="8" s="1"/>
  <c r="M1045" i="8"/>
  <c r="M1046" i="8"/>
  <c r="O1046" i="8" s="1"/>
  <c r="M1047" i="8"/>
  <c r="M1048" i="8"/>
  <c r="O1048" i="8" s="1"/>
  <c r="M1049" i="8"/>
  <c r="O1049" i="8" s="1"/>
  <c r="M1050" i="8"/>
  <c r="O1050" i="8" s="1"/>
  <c r="M1051" i="8"/>
  <c r="O1051" i="8" s="1"/>
  <c r="M1052" i="8"/>
  <c r="O1052" i="8" s="1"/>
  <c r="M1053" i="8"/>
  <c r="O1053" i="8" s="1"/>
  <c r="M1054" i="8"/>
  <c r="O1054" i="8" s="1"/>
  <c r="M1055" i="8"/>
  <c r="O1055" i="8" s="1"/>
  <c r="M1056" i="8"/>
  <c r="O1056" i="8" s="1"/>
  <c r="M1057" i="8"/>
  <c r="O1057" i="8" s="1"/>
  <c r="M1058" i="8"/>
  <c r="O1058" i="8" s="1"/>
  <c r="M1059" i="8"/>
  <c r="M1060" i="8"/>
  <c r="M1061" i="8"/>
  <c r="O1061" i="8" s="1"/>
  <c r="M1062" i="8"/>
  <c r="O1062" i="8" s="1"/>
  <c r="M1063" i="8"/>
  <c r="O1063" i="8" s="1"/>
  <c r="M1064" i="8"/>
  <c r="O1064" i="8" s="1"/>
  <c r="M1065" i="8"/>
  <c r="O1065" i="8" s="1"/>
  <c r="M1066" i="8"/>
  <c r="O1066" i="8" s="1"/>
  <c r="M1067" i="8"/>
  <c r="O1067" i="8" s="1"/>
  <c r="M1068" i="8"/>
  <c r="O1068" i="8" s="1"/>
  <c r="M1069" i="8"/>
  <c r="M1070" i="8"/>
  <c r="O1070" i="8" s="1"/>
  <c r="M1071" i="8"/>
  <c r="M1072" i="8"/>
  <c r="O1072" i="8" s="1"/>
  <c r="M1073" i="8"/>
  <c r="O1073" i="8" s="1"/>
  <c r="M1074" i="8"/>
  <c r="O1074" i="8" s="1"/>
  <c r="M1075" i="8"/>
  <c r="O1075" i="8" s="1"/>
  <c r="M1076" i="8"/>
  <c r="O1076" i="8" s="1"/>
  <c r="M1077" i="8"/>
  <c r="O1077" i="8" s="1"/>
  <c r="M1078" i="8"/>
  <c r="O1078" i="8" s="1"/>
  <c r="M1079" i="8"/>
  <c r="O1079" i="8" s="1"/>
  <c r="M1080" i="8"/>
  <c r="O1080" i="8" s="1"/>
  <c r="M1081" i="8"/>
  <c r="O1081" i="8" s="1"/>
  <c r="M1082" i="8"/>
  <c r="O1082" i="8" s="1"/>
  <c r="M1083" i="8"/>
  <c r="O1083" i="8" s="1"/>
  <c r="M1084" i="8"/>
  <c r="O1084" i="8" s="1"/>
  <c r="M1085" i="8"/>
  <c r="O1085" i="8" s="1"/>
  <c r="M1086" i="8"/>
  <c r="O1086" i="8" s="1"/>
  <c r="M1087" i="8"/>
  <c r="O1087" i="8" s="1"/>
  <c r="M1088" i="8"/>
  <c r="O1088" i="8" s="1"/>
  <c r="M1089" i="8"/>
  <c r="O1089" i="8" s="1"/>
  <c r="M1090" i="8"/>
  <c r="O1090" i="8" s="1"/>
  <c r="M1091" i="8"/>
  <c r="M1092" i="8"/>
  <c r="O1092" i="8" s="1"/>
  <c r="M1093" i="8"/>
  <c r="O1093" i="8" s="1"/>
  <c r="M1094" i="8"/>
  <c r="O1094" i="8" s="1"/>
  <c r="M1095" i="8"/>
  <c r="O1095" i="8" s="1"/>
  <c r="M1096" i="8"/>
  <c r="O1096" i="8" s="1"/>
  <c r="M1097" i="8"/>
  <c r="O1097" i="8" s="1"/>
  <c r="M1098" i="8"/>
  <c r="O1098" i="8" s="1"/>
  <c r="M1099" i="8"/>
  <c r="M1100" i="8"/>
  <c r="M1101" i="8"/>
  <c r="O1101" i="8" s="1"/>
  <c r="M1102" i="8"/>
  <c r="O1102" i="8" s="1"/>
  <c r="M1103" i="8"/>
  <c r="O1103" i="8" s="1"/>
  <c r="M1104" i="8"/>
  <c r="O1104" i="8" s="1"/>
  <c r="M1105" i="8"/>
  <c r="O1105" i="8" s="1"/>
  <c r="M1106" i="8"/>
  <c r="O1106" i="8" s="1"/>
  <c r="M1107" i="8"/>
  <c r="M1108" i="8"/>
  <c r="M1109" i="8"/>
  <c r="M1110" i="8"/>
  <c r="O1110" i="8" s="1"/>
  <c r="M1111" i="8"/>
  <c r="O1111" i="8" s="1"/>
  <c r="M1112" i="8"/>
  <c r="O1112" i="8" s="1"/>
  <c r="M1113" i="8"/>
  <c r="O1113" i="8" s="1"/>
  <c r="M1114" i="8"/>
  <c r="O1114" i="8" s="1"/>
  <c r="M1115" i="8"/>
  <c r="O1115" i="8" s="1"/>
  <c r="M1116" i="8"/>
  <c r="O1116" i="8" s="1"/>
  <c r="M1117" i="8"/>
  <c r="M1118" i="8"/>
  <c r="O1118" i="8" s="1"/>
  <c r="M1119" i="8"/>
  <c r="M1120" i="8"/>
  <c r="O1120" i="8" s="1"/>
  <c r="M1121" i="8"/>
  <c r="O1121" i="8" s="1"/>
  <c r="M1122" i="8"/>
  <c r="O1122" i="8" s="1"/>
  <c r="M1123" i="8"/>
  <c r="O1123" i="8" s="1"/>
  <c r="M1124" i="8"/>
  <c r="O1124" i="8" s="1"/>
  <c r="M1125" i="8"/>
  <c r="O1125" i="8" s="1"/>
  <c r="M1126" i="8"/>
  <c r="O1126" i="8" s="1"/>
  <c r="M1127" i="8"/>
  <c r="M1128" i="8"/>
  <c r="M1129" i="8"/>
  <c r="O1129" i="8" s="1"/>
  <c r="M1130" i="8"/>
  <c r="O1130" i="8" s="1"/>
  <c r="M1131" i="8"/>
  <c r="O1131" i="8" s="1"/>
  <c r="M1132" i="8"/>
  <c r="O1132" i="8" s="1"/>
  <c r="M1133" i="8"/>
  <c r="O1133" i="8" s="1"/>
  <c r="M1134" i="8"/>
  <c r="O1134" i="8" s="1"/>
  <c r="M1135" i="8"/>
  <c r="O1135" i="8" s="1"/>
  <c r="M1136" i="8"/>
  <c r="M1137" i="8"/>
  <c r="M1138" i="8"/>
  <c r="O1138" i="8" s="1"/>
  <c r="M1139" i="8"/>
  <c r="O1139" i="8" s="1"/>
  <c r="M1140" i="8"/>
  <c r="O1140" i="8" s="1"/>
  <c r="M1141" i="8"/>
  <c r="O1141" i="8" s="1"/>
  <c r="M1142" i="8"/>
  <c r="O1142" i="8" s="1"/>
  <c r="M1143" i="8"/>
  <c r="O1143" i="8" s="1"/>
  <c r="M1144" i="8"/>
  <c r="O1144" i="8" s="1"/>
  <c r="M1145" i="8"/>
  <c r="O1145" i="8" s="1"/>
  <c r="M1146" i="8"/>
  <c r="O1146" i="8" s="1"/>
  <c r="M1147" i="8"/>
  <c r="O1147" i="8" s="1"/>
  <c r="M1148" i="8"/>
  <c r="O1148" i="8" s="1"/>
  <c r="M1149" i="8"/>
  <c r="O1149" i="8" s="1"/>
  <c r="M1150" i="8"/>
  <c r="O1150" i="8" s="1"/>
  <c r="M1151" i="8"/>
  <c r="O1151" i="8" s="1"/>
  <c r="M1152" i="8"/>
  <c r="O1152" i="8" s="1"/>
  <c r="M1153" i="8"/>
  <c r="O1153" i="8" s="1"/>
  <c r="M1154" i="8"/>
  <c r="O1154" i="8" s="1"/>
  <c r="M1155" i="8"/>
  <c r="M1156" i="8"/>
  <c r="O1156" i="8" s="1"/>
  <c r="M1157" i="8"/>
  <c r="O1157" i="8" s="1"/>
  <c r="M1158" i="8"/>
  <c r="O1158" i="8" s="1"/>
  <c r="M1159" i="8"/>
  <c r="O1159" i="8" s="1"/>
  <c r="M1160" i="8"/>
  <c r="O1160" i="8" s="1"/>
  <c r="M1161" i="8"/>
  <c r="O1161" i="8" s="1"/>
  <c r="M1162" i="8"/>
  <c r="O1162" i="8" s="1"/>
  <c r="M1163" i="8"/>
  <c r="M1164" i="8"/>
  <c r="M1165" i="8"/>
  <c r="O1165" i="8" s="1"/>
  <c r="M1166" i="8"/>
  <c r="O1166" i="8" s="1"/>
  <c r="M1167" i="8"/>
  <c r="O1167" i="8" s="1"/>
  <c r="M1168" i="8"/>
  <c r="O1168" i="8" s="1"/>
  <c r="M1169" i="8"/>
  <c r="O1169" i="8" s="1"/>
  <c r="M1170" i="8"/>
  <c r="O1170" i="8" s="1"/>
  <c r="M1171" i="8"/>
  <c r="M1172" i="8"/>
  <c r="M1173" i="8"/>
  <c r="O1173" i="8" s="1"/>
  <c r="M1174" i="8"/>
  <c r="O1174" i="8" s="1"/>
  <c r="M1175" i="8"/>
  <c r="O1175" i="8" s="1"/>
  <c r="M1176" i="8"/>
  <c r="O1176" i="8" s="1"/>
  <c r="M1177" i="8"/>
  <c r="O1177" i="8" s="1"/>
  <c r="M1178" i="8"/>
  <c r="O1178" i="8" s="1"/>
  <c r="M1179" i="8"/>
  <c r="M1180" i="8"/>
  <c r="M1181" i="8"/>
  <c r="O1181" i="8" s="1"/>
  <c r="M1182" i="8"/>
  <c r="O1182" i="8" s="1"/>
  <c r="M1183" i="8"/>
  <c r="O1183" i="8" s="1"/>
  <c r="M1184" i="8"/>
  <c r="O1184" i="8" s="1"/>
  <c r="M1185" i="8"/>
  <c r="O1185" i="8" s="1"/>
  <c r="M1186" i="8"/>
  <c r="O1186" i="8" s="1"/>
  <c r="M1187" i="8"/>
  <c r="M1188" i="8"/>
  <c r="M1189" i="8"/>
  <c r="O1189" i="8" s="1"/>
  <c r="M1190" i="8"/>
  <c r="O1190" i="8" s="1"/>
  <c r="M1191" i="8"/>
  <c r="O1191" i="8" s="1"/>
  <c r="M1192" i="8"/>
  <c r="O1192" i="8" s="1"/>
  <c r="M1193" i="8"/>
  <c r="O1193" i="8" s="1"/>
  <c r="M1194" i="8"/>
  <c r="O1194" i="8" s="1"/>
  <c r="M1195" i="8"/>
  <c r="M1196" i="8"/>
  <c r="M1197" i="8"/>
  <c r="O1197" i="8" s="1"/>
  <c r="M1198" i="8"/>
  <c r="O1198" i="8" s="1"/>
  <c r="M1199" i="8"/>
  <c r="O1199" i="8" s="1"/>
  <c r="M1200" i="8"/>
  <c r="O1200" i="8" s="1"/>
  <c r="M1201" i="8"/>
  <c r="O1201" i="8" s="1"/>
  <c r="M1202" i="8"/>
  <c r="O1202" i="8" s="1"/>
  <c r="M1203" i="8"/>
  <c r="M1204" i="8"/>
  <c r="M1205" i="8"/>
  <c r="O1205" i="8" s="1"/>
  <c r="M1206" i="8"/>
  <c r="O1206" i="8" s="1"/>
  <c r="M1207" i="8"/>
  <c r="O1207" i="8" s="1"/>
  <c r="M1208" i="8"/>
  <c r="O1208" i="8" s="1"/>
  <c r="M1209" i="8"/>
  <c r="O1209" i="8" s="1"/>
  <c r="M1210" i="8"/>
  <c r="O1210" i="8" s="1"/>
  <c r="M1211" i="8"/>
  <c r="M1212" i="8"/>
  <c r="M1213" i="8"/>
  <c r="O1213" i="8" s="1"/>
  <c r="M1214" i="8"/>
  <c r="O1214" i="8" s="1"/>
  <c r="M1215" i="8"/>
  <c r="O1215" i="8" s="1"/>
  <c r="M1216" i="8"/>
  <c r="O1216" i="8" s="1"/>
  <c r="M1217" i="8"/>
  <c r="O1217" i="8" s="1"/>
  <c r="M1218" i="8"/>
  <c r="O1218" i="8" s="1"/>
  <c r="M1219" i="8"/>
  <c r="M1220" i="8"/>
  <c r="M1221" i="8"/>
  <c r="O1221" i="8" s="1"/>
  <c r="M1222" i="8"/>
  <c r="O1222" i="8" s="1"/>
  <c r="M1223" i="8"/>
  <c r="O1223" i="8" s="1"/>
  <c r="M1224" i="8"/>
  <c r="O1224" i="8" s="1"/>
  <c r="M1225" i="8"/>
  <c r="O1225" i="8" s="1"/>
  <c r="M1226" i="8"/>
  <c r="O1226" i="8" s="1"/>
  <c r="M1227" i="8"/>
  <c r="M1228" i="8"/>
  <c r="M1229" i="8"/>
  <c r="O1229" i="8" s="1"/>
  <c r="M1230" i="8"/>
  <c r="O1230" i="8" s="1"/>
  <c r="M1231" i="8"/>
  <c r="O1231" i="8" s="1"/>
  <c r="M1232" i="8"/>
  <c r="O1232" i="8" s="1"/>
  <c r="M1233" i="8"/>
  <c r="O1233" i="8" s="1"/>
  <c r="M1234" i="8"/>
  <c r="O1234" i="8" s="1"/>
  <c r="M1235" i="8"/>
  <c r="M1236" i="8"/>
  <c r="M1237" i="8"/>
  <c r="O1237" i="8" s="1"/>
  <c r="M1238" i="8"/>
  <c r="O1238" i="8" s="1"/>
  <c r="M1239" i="8"/>
  <c r="O1239" i="8" s="1"/>
  <c r="M1240" i="8"/>
  <c r="O1240" i="8" s="1"/>
  <c r="M1241" i="8"/>
  <c r="O1241" i="8" s="1"/>
  <c r="M1242" i="8"/>
  <c r="O1242" i="8" s="1"/>
  <c r="M1243" i="8"/>
  <c r="M1244" i="8"/>
  <c r="M1245" i="8"/>
  <c r="O1245" i="8" s="1"/>
  <c r="M1246" i="8"/>
  <c r="O1246" i="8" s="1"/>
  <c r="M1247" i="8"/>
  <c r="O1247" i="8" s="1"/>
  <c r="M1248" i="8"/>
  <c r="O1248" i="8" s="1"/>
  <c r="M1249" i="8"/>
  <c r="O1249" i="8" s="1"/>
  <c r="M1250" i="8"/>
  <c r="O1250" i="8" s="1"/>
  <c r="M1251" i="8"/>
  <c r="M1252" i="8"/>
  <c r="M1253" i="8"/>
  <c r="O1253" i="8" s="1"/>
  <c r="M1254" i="8"/>
  <c r="O1254" i="8" s="1"/>
  <c r="M1255" i="8"/>
  <c r="O1255" i="8" s="1"/>
  <c r="M1256" i="8"/>
  <c r="O1256" i="8" s="1"/>
  <c r="M1257" i="8"/>
  <c r="O1257" i="8" s="1"/>
  <c r="M1258" i="8"/>
  <c r="O1258" i="8" s="1"/>
  <c r="M1259" i="8"/>
  <c r="M1260" i="8"/>
  <c r="M1261" i="8"/>
  <c r="O1261" i="8" s="1"/>
  <c r="M1262" i="8"/>
  <c r="O1262" i="8" s="1"/>
  <c r="M1263" i="8"/>
  <c r="O1263" i="8" s="1"/>
  <c r="M1264" i="8"/>
  <c r="O1264" i="8" s="1"/>
  <c r="M1265" i="8"/>
  <c r="O1265" i="8" s="1"/>
  <c r="M1266" i="8"/>
  <c r="O1266" i="8" s="1"/>
  <c r="M1267" i="8"/>
  <c r="M1268" i="8"/>
  <c r="M1269" i="8"/>
  <c r="O1269" i="8" s="1"/>
  <c r="M1270" i="8"/>
  <c r="O1270" i="8" s="1"/>
  <c r="M1271" i="8"/>
  <c r="O1271" i="8" s="1"/>
  <c r="M1272" i="8"/>
  <c r="O1272" i="8" s="1"/>
  <c r="M1273" i="8"/>
  <c r="O1273" i="8" s="1"/>
  <c r="M1274" i="8"/>
  <c r="O1274" i="8" s="1"/>
  <c r="M1275" i="8"/>
  <c r="M1276" i="8"/>
  <c r="M1277" i="8"/>
  <c r="O1277" i="8" s="1"/>
  <c r="M1278" i="8"/>
  <c r="O1278" i="8" s="1"/>
  <c r="M1279" i="8"/>
  <c r="O1279" i="8" s="1"/>
  <c r="M1280" i="8"/>
  <c r="O1280" i="8" s="1"/>
  <c r="M1281" i="8"/>
  <c r="O1281" i="8" s="1"/>
  <c r="M1282" i="8"/>
  <c r="O1282" i="8" s="1"/>
  <c r="M1283" i="8"/>
  <c r="M1284" i="8"/>
  <c r="M1285" i="8"/>
  <c r="O1285" i="8" s="1"/>
  <c r="M1286" i="8"/>
  <c r="O1286" i="8" s="1"/>
  <c r="M1287" i="8"/>
  <c r="O1287" i="8" s="1"/>
  <c r="M1288" i="8"/>
  <c r="O1288" i="8" s="1"/>
  <c r="M1289" i="8"/>
  <c r="O1289" i="8" s="1"/>
  <c r="M1290" i="8"/>
  <c r="O1290" i="8" s="1"/>
  <c r="M1291" i="8"/>
  <c r="M1292" i="8"/>
  <c r="M1293" i="8"/>
  <c r="O1293" i="8" s="1"/>
  <c r="M1294" i="8"/>
  <c r="O1294" i="8" s="1"/>
  <c r="M1295" i="8"/>
  <c r="O1295" i="8" s="1"/>
  <c r="M1296" i="8"/>
  <c r="O1296" i="8" s="1"/>
  <c r="M1297" i="8"/>
  <c r="O1297" i="8" s="1"/>
  <c r="M1298" i="8"/>
  <c r="O1298" i="8" s="1"/>
  <c r="M1299" i="8"/>
  <c r="M1300" i="8"/>
  <c r="M1301" i="8"/>
  <c r="O1301" i="8" s="1"/>
  <c r="M1302" i="8"/>
  <c r="O1302" i="8" s="1"/>
  <c r="M1303" i="8"/>
  <c r="O1303" i="8" s="1"/>
  <c r="M1304" i="8"/>
  <c r="O1304" i="8" s="1"/>
  <c r="M1305" i="8"/>
  <c r="O1305" i="8" s="1"/>
  <c r="M1306" i="8"/>
  <c r="O1306" i="8" s="1"/>
  <c r="M1307" i="8"/>
  <c r="M1308" i="8"/>
  <c r="M1309" i="8"/>
  <c r="O1309" i="8" s="1"/>
  <c r="M1310" i="8"/>
  <c r="O1310" i="8" s="1"/>
  <c r="M1311" i="8"/>
  <c r="O1311" i="8" s="1"/>
  <c r="M1312" i="8"/>
  <c r="O1312" i="8" s="1"/>
  <c r="M1313" i="8"/>
  <c r="O1313" i="8" s="1"/>
  <c r="M1314" i="8"/>
  <c r="O1314" i="8" s="1"/>
  <c r="M1315" i="8"/>
  <c r="M1316" i="8"/>
  <c r="M1317" i="8"/>
  <c r="O1317" i="8" s="1"/>
  <c r="M1318" i="8"/>
  <c r="O1318" i="8" s="1"/>
  <c r="M1319" i="8"/>
  <c r="O1319" i="8" s="1"/>
  <c r="M1320" i="8"/>
  <c r="O1320" i="8" s="1"/>
  <c r="M1321" i="8"/>
  <c r="O1321" i="8" s="1"/>
  <c r="M1322" i="8"/>
  <c r="O1322" i="8" s="1"/>
  <c r="M1323" i="8"/>
  <c r="M1324" i="8"/>
  <c r="M1325" i="8"/>
  <c r="O1325" i="8" s="1"/>
  <c r="M1326" i="8"/>
  <c r="O1326" i="8" s="1"/>
  <c r="M2" i="8"/>
  <c r="O2" i="8" s="1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2" i="8"/>
</calcChain>
</file>

<file path=xl/sharedStrings.xml><?xml version="1.0" encoding="utf-8"?>
<sst xmlns="http://schemas.openxmlformats.org/spreadsheetml/2006/main" count="8010" uniqueCount="41">
  <si>
    <t>Salesman</t>
  </si>
  <si>
    <t>Formulas</t>
  </si>
  <si>
    <t>Sales</t>
  </si>
  <si>
    <t>Sean</t>
  </si>
  <si>
    <t>Kara</t>
  </si>
  <si>
    <t>Martin</t>
  </si>
  <si>
    <t>John</t>
  </si>
  <si>
    <t>Nick</t>
  </si>
  <si>
    <t>Jonathan</t>
  </si>
  <si>
    <t>Marry</t>
  </si>
  <si>
    <t>Duplicate Values</t>
  </si>
  <si>
    <t>Icon Sets</t>
  </si>
  <si>
    <t>Date of Delivery</t>
  </si>
  <si>
    <t>Rob</t>
  </si>
  <si>
    <t>David</t>
  </si>
  <si>
    <t>Harry</t>
  </si>
  <si>
    <t>Dates</t>
  </si>
  <si>
    <t>Order ID</t>
  </si>
  <si>
    <t>Product</t>
  </si>
  <si>
    <t>Region</t>
  </si>
  <si>
    <t>No. Customers</t>
  </si>
  <si>
    <t>Net Sales</t>
  </si>
  <si>
    <t>Profit / Loss</t>
  </si>
  <si>
    <t>Product1</t>
  </si>
  <si>
    <t>Adam</t>
  </si>
  <si>
    <t>North</t>
  </si>
  <si>
    <t>Product2</t>
  </si>
  <si>
    <t>Product3</t>
  </si>
  <si>
    <t>West</t>
  </si>
  <si>
    <t>Middle</t>
  </si>
  <si>
    <t>Calvin</t>
  </si>
  <si>
    <t>Daniel</t>
  </si>
  <si>
    <t>Henry</t>
  </si>
  <si>
    <t>Justin</t>
  </si>
  <si>
    <t>Paul</t>
  </si>
  <si>
    <t>Sindy</t>
  </si>
  <si>
    <t>if /and functions</t>
  </si>
  <si>
    <t>if/ or functions</t>
  </si>
  <si>
    <t>true()</t>
  </si>
  <si>
    <t>false()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</si>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</sst>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(&quot;$&quot;* #,##0_);_(&quot;$&quot;* \(#,##0\);_(&quot;$&quot;* &quot;-&quot;??_);_(@_)"/>
    <numFmt numFmtId="166" formatCode="[$-409]d\-mmm\-yy;@"/>
    <numFmt numFmtId="167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165" fontId="4" fillId="0" borderId="0" xfId="0" applyNumberFormat="1" applyFont="1"/>
    <xf numFmtId="0" fontId="5" fillId="2" borderId="1" xfId="0" applyFont="1" applyFill="1" applyBorder="1"/>
    <xf numFmtId="0" fontId="4" fillId="0" borderId="1" xfId="0" applyFont="1" applyBorder="1"/>
    <xf numFmtId="14" fontId="4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6" fillId="2" borderId="3" xfId="0" applyFont="1" applyFill="1" applyBorder="1"/>
    <xf numFmtId="0" fontId="6" fillId="2" borderId="4" xfId="0" applyFont="1" applyFill="1" applyBorder="1"/>
    <xf numFmtId="166" fontId="0" fillId="0" borderId="2" xfId="0" applyNumberFormat="1" applyBorder="1"/>
    <xf numFmtId="0" fontId="0" fillId="0" borderId="2" xfId="0" applyNumberFormat="1" applyBorder="1"/>
    <xf numFmtId="4" fontId="0" fillId="0" borderId="2" xfId="0" applyNumberFormat="1" applyBorder="1"/>
    <xf numFmtId="166" fontId="0" fillId="0" borderId="0" xfId="0" applyNumberFormat="1"/>
    <xf numFmtId="167" fontId="0" fillId="3" borderId="0" xfId="0" applyNumberFormat="1" applyFill="1"/>
    <xf numFmtId="0" fontId="3" fillId="0" borderId="0" xfId="0" applyFont="1" applyBorder="1" applyAlignment="1">
      <alignment horizontal="center" vertical="center"/>
    </xf>
    <xf numFmtId="0" fontId="0" fillId="3" borderId="0" xfId="0" applyFill="1"/>
    <xf numFmtId="9" fontId="0" fillId="0" borderId="0" xfId="0" applyNumberFormat="1"/>
    <xf numFmtId="0" fontId="0" fillId="4" borderId="5" xfId="0" applyFill="1" applyBorder="1"/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4"/>
  <sheetViews>
    <sheetView showGridLines="0" zoomScale="110" zoomScaleNormal="110" workbookViewId="0">
      <selection activeCell="C18" sqref="C18:C19"/>
    </sheetView>
  </sheetViews>
  <sheetFormatPr defaultRowHeight="14.5" x14ac:dyDescent="0.35"/>
  <cols>
    <col min="1" max="1" width="7.54296875" customWidth="1"/>
    <col min="2" max="2" width="14.81640625" customWidth="1"/>
    <col min="3" max="3" width="15.1796875" customWidth="1"/>
    <col min="5" max="5" width="15.7265625" customWidth="1"/>
    <col min="6" max="6" width="15.453125" customWidth="1"/>
    <col min="8" max="8" width="14.1796875" customWidth="1"/>
    <col min="9" max="9" width="17.54296875" customWidth="1"/>
  </cols>
  <sheetData>
    <row r="2" spans="2:9" ht="15.5" x14ac:dyDescent="0.35">
      <c r="B2" s="16" t="s">
        <v>10</v>
      </c>
      <c r="C2" s="16"/>
      <c r="D2" s="1"/>
      <c r="E2" s="16" t="s">
        <v>11</v>
      </c>
      <c r="F2" s="16"/>
      <c r="G2" s="1"/>
      <c r="H2" s="16" t="s">
        <v>1</v>
      </c>
      <c r="I2" s="16"/>
    </row>
    <row r="3" spans="2:9" ht="15.5" x14ac:dyDescent="0.35">
      <c r="B3" s="4" t="s">
        <v>0</v>
      </c>
      <c r="C3" s="7" t="s">
        <v>2</v>
      </c>
      <c r="D3" s="2"/>
      <c r="E3" s="4" t="s">
        <v>0</v>
      </c>
      <c r="F3" s="7" t="s">
        <v>2</v>
      </c>
      <c r="G3" s="2"/>
      <c r="H3" s="4" t="s">
        <v>0</v>
      </c>
      <c r="I3" s="4" t="s">
        <v>12</v>
      </c>
    </row>
    <row r="4" spans="2:9" ht="15.5" x14ac:dyDescent="0.35">
      <c r="B4" s="5" t="s">
        <v>6</v>
      </c>
      <c r="C4" s="8">
        <v>7350</v>
      </c>
      <c r="D4" s="3"/>
      <c r="E4" s="5" t="s">
        <v>6</v>
      </c>
      <c r="F4" s="8">
        <v>21000</v>
      </c>
      <c r="G4" s="2"/>
      <c r="H4" s="5" t="s">
        <v>6</v>
      </c>
      <c r="I4" s="6">
        <v>42415</v>
      </c>
    </row>
    <row r="5" spans="2:9" ht="15.5" x14ac:dyDescent="0.35">
      <c r="B5" s="5" t="s">
        <v>13</v>
      </c>
      <c r="C5" s="8">
        <v>5000</v>
      </c>
      <c r="D5" s="3"/>
      <c r="E5" s="5" t="s">
        <v>13</v>
      </c>
      <c r="F5" s="8">
        <v>17172</v>
      </c>
      <c r="G5" s="2"/>
      <c r="H5" s="5" t="s">
        <v>13</v>
      </c>
      <c r="I5" s="6">
        <v>42440</v>
      </c>
    </row>
    <row r="6" spans="2:9" ht="15.5" x14ac:dyDescent="0.35">
      <c r="B6" s="5" t="s">
        <v>15</v>
      </c>
      <c r="C6" s="8">
        <v>16680</v>
      </c>
      <c r="D6" s="3"/>
      <c r="E6" s="5" t="s">
        <v>15</v>
      </c>
      <c r="F6" s="8">
        <v>16680</v>
      </c>
      <c r="G6" s="2"/>
      <c r="H6" s="5" t="s">
        <v>15</v>
      </c>
      <c r="I6" s="6">
        <v>42484</v>
      </c>
    </row>
    <row r="7" spans="2:9" ht="15.5" x14ac:dyDescent="0.35">
      <c r="B7" s="5" t="s">
        <v>5</v>
      </c>
      <c r="C7" s="8">
        <v>11000</v>
      </c>
      <c r="D7" s="3"/>
      <c r="E7" s="5" t="s">
        <v>5</v>
      </c>
      <c r="F7" s="8">
        <v>4246</v>
      </c>
      <c r="G7" s="2"/>
      <c r="H7" s="5" t="s">
        <v>5</v>
      </c>
      <c r="I7" s="6">
        <v>42571</v>
      </c>
    </row>
    <row r="8" spans="2:9" ht="15.5" x14ac:dyDescent="0.35">
      <c r="B8" s="5" t="s">
        <v>3</v>
      </c>
      <c r="C8" s="8">
        <v>5000</v>
      </c>
      <c r="D8" s="3"/>
      <c r="E8" s="5" t="s">
        <v>3</v>
      </c>
      <c r="F8" s="8">
        <v>15430</v>
      </c>
      <c r="G8" s="2"/>
      <c r="H8" s="5" t="s">
        <v>3</v>
      </c>
      <c r="I8" s="6">
        <v>42389</v>
      </c>
    </row>
    <row r="9" spans="2:9" ht="15.5" x14ac:dyDescent="0.35">
      <c r="B9" s="5" t="s">
        <v>14</v>
      </c>
      <c r="C9" s="8">
        <v>16680</v>
      </c>
      <c r="D9" s="3"/>
      <c r="E9" s="5" t="s">
        <v>14</v>
      </c>
      <c r="F9" s="8">
        <v>20000</v>
      </c>
      <c r="G9" s="2"/>
      <c r="H9" s="5" t="s">
        <v>14</v>
      </c>
      <c r="I9" s="6">
        <v>42692</v>
      </c>
    </row>
    <row r="10" spans="2:9" ht="15.5" x14ac:dyDescent="0.35">
      <c r="B10" s="5" t="s">
        <v>4</v>
      </c>
      <c r="C10" s="8">
        <v>25000</v>
      </c>
      <c r="D10" s="3"/>
      <c r="E10" s="5" t="s">
        <v>4</v>
      </c>
      <c r="F10" s="8">
        <v>4683</v>
      </c>
      <c r="G10" s="2"/>
      <c r="H10" s="5" t="s">
        <v>4</v>
      </c>
      <c r="I10" s="6">
        <v>42730</v>
      </c>
    </row>
    <row r="11" spans="2:9" ht="15.5" x14ac:dyDescent="0.35">
      <c r="B11" s="5" t="s">
        <v>6</v>
      </c>
      <c r="C11" s="8">
        <v>7350</v>
      </c>
      <c r="D11" s="3"/>
      <c r="E11" s="5" t="s">
        <v>8</v>
      </c>
      <c r="F11" s="8">
        <v>12026</v>
      </c>
      <c r="G11" s="2"/>
      <c r="H11" s="5" t="s">
        <v>8</v>
      </c>
      <c r="I11" s="6">
        <v>42762</v>
      </c>
    </row>
    <row r="12" spans="2:9" ht="15.5" x14ac:dyDescent="0.35">
      <c r="B12" s="5" t="s">
        <v>9</v>
      </c>
      <c r="C12" s="8">
        <v>20955</v>
      </c>
      <c r="D12" s="3"/>
      <c r="E12" s="5" t="s">
        <v>9</v>
      </c>
      <c r="F12" s="8">
        <v>20955</v>
      </c>
      <c r="G12" s="2"/>
      <c r="H12" s="5" t="s">
        <v>9</v>
      </c>
      <c r="I12" s="6">
        <v>42827</v>
      </c>
    </row>
    <row r="13" spans="2:9" ht="15.5" x14ac:dyDescent="0.35">
      <c r="B13" s="5" t="s">
        <v>7</v>
      </c>
      <c r="C13" s="8">
        <v>6885</v>
      </c>
      <c r="D13" s="3"/>
      <c r="E13" s="5" t="s">
        <v>7</v>
      </c>
      <c r="F13" s="8">
        <v>6885</v>
      </c>
      <c r="G13" s="2"/>
      <c r="H13" s="5" t="s">
        <v>7</v>
      </c>
      <c r="I13" s="6">
        <v>42758</v>
      </c>
    </row>
    <row r="14" spans="2:9" ht="15.5" x14ac:dyDescent="0.35">
      <c r="B14" s="2"/>
      <c r="C14" s="2"/>
      <c r="D14" s="2"/>
      <c r="E14" s="2"/>
      <c r="F14" s="2"/>
      <c r="G14" s="2"/>
    </row>
  </sheetData>
  <mergeCells count="3">
    <mergeCell ref="H2:I2"/>
    <mergeCell ref="B2:C2"/>
    <mergeCell ref="E2:F2"/>
  </mergeCells>
  <conditionalFormatting sqref="B3">
    <cfRule type="duplicateValues" dxfId="5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26"/>
  <sheetViews>
    <sheetView topLeftCell="A1309" workbookViewId="0">
      <selection sqref="A1:H1326"/>
    </sheetView>
  </sheetViews>
  <sheetFormatPr defaultRowHeight="14.5" x14ac:dyDescent="0.35"/>
  <cols>
    <col min="1" max="8" width="14.1796875" customWidth="1"/>
    <col min="10" max="10" width="13.26953125" bestFit="1" customWidth="1"/>
    <col min="11" max="11" width="12" customWidth="1"/>
  </cols>
  <sheetData>
    <row r="1" spans="1:11" x14ac:dyDescent="0.35">
      <c r="A1" s="9" t="s">
        <v>16</v>
      </c>
      <c r="B1" s="10" t="s">
        <v>17</v>
      </c>
      <c r="C1" s="10" t="s">
        <v>18</v>
      </c>
      <c r="D1" s="10" t="s">
        <v>0</v>
      </c>
      <c r="E1" s="10" t="s">
        <v>19</v>
      </c>
      <c r="F1" s="10" t="s">
        <v>20</v>
      </c>
      <c r="G1" s="10" t="s">
        <v>21</v>
      </c>
      <c r="H1" s="10" t="s">
        <v>22</v>
      </c>
      <c r="J1" s="15">
        <v>40923</v>
      </c>
    </row>
    <row r="2" spans="1:11" x14ac:dyDescent="0.35">
      <c r="A2" s="11">
        <v>40909</v>
      </c>
      <c r="B2" s="12">
        <v>1111</v>
      </c>
      <c r="C2" s="13" t="s">
        <v>23</v>
      </c>
      <c r="D2" s="13" t="s">
        <v>24</v>
      </c>
      <c r="E2" s="13" t="s">
        <v>25</v>
      </c>
      <c r="F2" s="13">
        <v>8</v>
      </c>
      <c r="G2" s="13">
        <v>7164</v>
      </c>
      <c r="H2" s="13">
        <v>844.1579999999999</v>
      </c>
    </row>
    <row r="3" spans="1:11" x14ac:dyDescent="0.35">
      <c r="A3" s="11">
        <v>40910</v>
      </c>
      <c r="B3" s="12">
        <v>1112</v>
      </c>
      <c r="C3" s="13" t="s">
        <v>26</v>
      </c>
      <c r="D3" s="13" t="s">
        <v>24</v>
      </c>
      <c r="E3" s="13" t="s">
        <v>25</v>
      </c>
      <c r="F3" s="13">
        <v>8</v>
      </c>
      <c r="G3" s="13">
        <v>6528</v>
      </c>
      <c r="H3" s="13">
        <v>3376.6319999999996</v>
      </c>
    </row>
    <row r="4" spans="1:11" x14ac:dyDescent="0.35">
      <c r="A4" s="11">
        <v>40911</v>
      </c>
      <c r="B4" s="12">
        <v>1113</v>
      </c>
      <c r="C4" s="13" t="s">
        <v>27</v>
      </c>
      <c r="D4" s="13" t="s">
        <v>24</v>
      </c>
      <c r="E4" s="13" t="s">
        <v>28</v>
      </c>
      <c r="F4" s="13">
        <v>8</v>
      </c>
      <c r="G4" s="13">
        <v>2520</v>
      </c>
      <c r="H4" s="13">
        <v>2280</v>
      </c>
    </row>
    <row r="5" spans="1:11" x14ac:dyDescent="0.35">
      <c r="A5" s="11">
        <v>40913</v>
      </c>
      <c r="B5" s="12">
        <v>1115</v>
      </c>
      <c r="C5" s="13" t="s">
        <v>26</v>
      </c>
      <c r="D5" s="13" t="s">
        <v>24</v>
      </c>
      <c r="E5" s="13" t="s">
        <v>28</v>
      </c>
      <c r="F5" s="13">
        <v>10</v>
      </c>
      <c r="G5" s="13">
        <v>9660</v>
      </c>
      <c r="H5" s="13">
        <v>1737.3510000000001</v>
      </c>
    </row>
    <row r="6" spans="1:11" x14ac:dyDescent="0.35">
      <c r="A6" s="11">
        <v>40914</v>
      </c>
      <c r="B6" s="12">
        <v>1111</v>
      </c>
      <c r="C6" s="13" t="s">
        <v>27</v>
      </c>
      <c r="D6" s="13" t="s">
        <v>24</v>
      </c>
      <c r="E6" s="13" t="s">
        <v>29</v>
      </c>
      <c r="F6" s="13">
        <v>10</v>
      </c>
      <c r="G6" s="13">
        <v>11550</v>
      </c>
      <c r="H6" s="13">
        <v>854.69999999999993</v>
      </c>
      <c r="K6" s="14"/>
    </row>
    <row r="7" spans="1:11" x14ac:dyDescent="0.35">
      <c r="A7" s="11">
        <v>40915</v>
      </c>
      <c r="B7" s="12">
        <v>1117</v>
      </c>
      <c r="C7" s="13" t="s">
        <v>23</v>
      </c>
      <c r="D7" s="13" t="s">
        <v>24</v>
      </c>
      <c r="E7" s="13" t="s">
        <v>29</v>
      </c>
      <c r="F7" s="13">
        <v>7</v>
      </c>
      <c r="G7" s="13">
        <v>7896</v>
      </c>
      <c r="H7" s="13">
        <v>2565.4104000000002</v>
      </c>
    </row>
    <row r="8" spans="1:11" x14ac:dyDescent="0.35">
      <c r="A8" s="11">
        <v>40916</v>
      </c>
      <c r="B8" s="12">
        <v>1118</v>
      </c>
      <c r="C8" s="13" t="s">
        <v>26</v>
      </c>
      <c r="D8" s="13" t="s">
        <v>24</v>
      </c>
      <c r="E8" s="13" t="s">
        <v>29</v>
      </c>
      <c r="F8" s="13">
        <v>7</v>
      </c>
      <c r="G8" s="13">
        <v>8095.5</v>
      </c>
      <c r="H8" s="13">
        <v>1063.2090000000001</v>
      </c>
    </row>
    <row r="9" spans="1:11" x14ac:dyDescent="0.35">
      <c r="A9" s="11">
        <v>40917</v>
      </c>
      <c r="B9" s="12">
        <v>1119</v>
      </c>
      <c r="C9" s="13" t="s">
        <v>27</v>
      </c>
      <c r="D9" s="13" t="s">
        <v>24</v>
      </c>
      <c r="E9" s="13" t="s">
        <v>25</v>
      </c>
      <c r="F9" s="13">
        <v>8</v>
      </c>
      <c r="G9" s="13">
        <v>12180</v>
      </c>
      <c r="H9" s="13">
        <v>1864.0272</v>
      </c>
    </row>
    <row r="10" spans="1:11" x14ac:dyDescent="0.35">
      <c r="A10" s="11">
        <v>40918</v>
      </c>
      <c r="B10" s="12">
        <v>1111</v>
      </c>
      <c r="C10" s="13" t="s">
        <v>23</v>
      </c>
      <c r="D10" s="13" t="s">
        <v>24</v>
      </c>
      <c r="E10" s="13" t="s">
        <v>25</v>
      </c>
      <c r="F10" s="13">
        <v>6</v>
      </c>
      <c r="G10" s="13">
        <v>4900.5</v>
      </c>
      <c r="H10" s="13">
        <v>2653.62075</v>
      </c>
    </row>
    <row r="11" spans="1:11" x14ac:dyDescent="0.35">
      <c r="A11" s="11">
        <v>40919</v>
      </c>
      <c r="B11" s="12">
        <v>1121</v>
      </c>
      <c r="C11" s="13" t="s">
        <v>26</v>
      </c>
      <c r="D11" s="13" t="s">
        <v>24</v>
      </c>
      <c r="E11" s="13" t="s">
        <v>25</v>
      </c>
      <c r="F11" s="13">
        <v>9</v>
      </c>
      <c r="G11" s="13">
        <v>2277</v>
      </c>
      <c r="H11" s="13">
        <v>1931.3513999999998</v>
      </c>
    </row>
    <row r="12" spans="1:11" x14ac:dyDescent="0.35">
      <c r="A12" s="11">
        <v>40920</v>
      </c>
      <c r="B12" s="12">
        <v>1122</v>
      </c>
      <c r="C12" s="13" t="s">
        <v>27</v>
      </c>
      <c r="D12" s="13" t="s">
        <v>24</v>
      </c>
      <c r="E12" s="13" t="s">
        <v>28</v>
      </c>
      <c r="F12" s="13">
        <v>6</v>
      </c>
      <c r="G12" s="13">
        <v>8032.5</v>
      </c>
      <c r="H12" s="13">
        <v>994.4235000000001</v>
      </c>
    </row>
    <row r="13" spans="1:11" x14ac:dyDescent="0.35">
      <c r="A13" s="11">
        <v>40921</v>
      </c>
      <c r="B13" s="12">
        <v>1123</v>
      </c>
      <c r="C13" s="13" t="s">
        <v>23</v>
      </c>
      <c r="D13" s="13" t="s">
        <v>24</v>
      </c>
      <c r="E13" s="13" t="s">
        <v>28</v>
      </c>
      <c r="F13" s="13">
        <v>9</v>
      </c>
      <c r="G13" s="13">
        <v>8046</v>
      </c>
      <c r="H13" s="13">
        <v>4092.732</v>
      </c>
    </row>
    <row r="14" spans="1:11" x14ac:dyDescent="0.35">
      <c r="A14" s="11">
        <v>40922</v>
      </c>
      <c r="B14" s="12">
        <v>1124</v>
      </c>
      <c r="C14" s="13" t="s">
        <v>26</v>
      </c>
      <c r="D14" s="13" t="s">
        <v>24</v>
      </c>
      <c r="E14" s="13" t="s">
        <v>28</v>
      </c>
      <c r="F14" s="13">
        <v>6</v>
      </c>
      <c r="G14" s="13">
        <v>11250</v>
      </c>
      <c r="H14" s="13">
        <v>1900.8000000000002</v>
      </c>
    </row>
    <row r="15" spans="1:11" x14ac:dyDescent="0.35">
      <c r="A15" s="11">
        <v>40923</v>
      </c>
      <c r="B15" s="12">
        <v>1125</v>
      </c>
      <c r="C15" s="13" t="s">
        <v>27</v>
      </c>
      <c r="D15" s="13" t="s">
        <v>24</v>
      </c>
      <c r="E15" s="13" t="s">
        <v>29</v>
      </c>
      <c r="F15" s="13">
        <v>7</v>
      </c>
      <c r="G15" s="13">
        <v>6189.75</v>
      </c>
      <c r="H15" s="13">
        <v>2722.8710250000004</v>
      </c>
    </row>
    <row r="16" spans="1:11" x14ac:dyDescent="0.35">
      <c r="A16" s="11">
        <v>40924</v>
      </c>
      <c r="B16" s="12">
        <v>1126</v>
      </c>
      <c r="C16" s="13" t="s">
        <v>23</v>
      </c>
      <c r="D16" s="13" t="s">
        <v>24</v>
      </c>
      <c r="E16" s="13" t="s">
        <v>29</v>
      </c>
      <c r="F16" s="13">
        <v>7</v>
      </c>
      <c r="G16" s="13">
        <v>2908.5</v>
      </c>
      <c r="H16" s="13">
        <v>1140.7136999999998</v>
      </c>
    </row>
    <row r="17" spans="1:8" x14ac:dyDescent="0.35">
      <c r="A17" s="11">
        <v>40925</v>
      </c>
      <c r="B17" s="12">
        <v>1127</v>
      </c>
      <c r="C17" s="13" t="s">
        <v>26</v>
      </c>
      <c r="D17" s="13" t="s">
        <v>24</v>
      </c>
      <c r="E17" s="13" t="s">
        <v>29</v>
      </c>
      <c r="F17" s="13">
        <v>6</v>
      </c>
      <c r="G17" s="13">
        <v>2214</v>
      </c>
      <c r="H17" s="13">
        <v>2828.6063999999997</v>
      </c>
    </row>
    <row r="18" spans="1:8" x14ac:dyDescent="0.35">
      <c r="A18" s="11">
        <v>40926</v>
      </c>
      <c r="B18" s="12">
        <v>1128</v>
      </c>
      <c r="C18" s="13" t="s">
        <v>27</v>
      </c>
      <c r="D18" s="13" t="s">
        <v>24</v>
      </c>
      <c r="E18" s="13" t="s">
        <v>25</v>
      </c>
      <c r="F18" s="13">
        <v>9</v>
      </c>
      <c r="G18" s="13">
        <v>8829</v>
      </c>
      <c r="H18" s="13">
        <v>4189.3605000000007</v>
      </c>
    </row>
    <row r="19" spans="1:8" x14ac:dyDescent="0.35">
      <c r="A19" s="11">
        <v>40927</v>
      </c>
      <c r="B19" s="12">
        <v>1129</v>
      </c>
      <c r="C19" s="13" t="s">
        <v>23</v>
      </c>
      <c r="D19" s="13" t="s">
        <v>24</v>
      </c>
      <c r="E19" s="13" t="s">
        <v>25</v>
      </c>
      <c r="F19" s="13">
        <v>10</v>
      </c>
      <c r="G19" s="13">
        <v>9120</v>
      </c>
      <c r="H19" s="13">
        <v>3569.3399999999997</v>
      </c>
    </row>
    <row r="20" spans="1:8" x14ac:dyDescent="0.35">
      <c r="A20" s="11">
        <v>40928</v>
      </c>
      <c r="B20" s="12">
        <v>1130</v>
      </c>
      <c r="C20" s="13" t="s">
        <v>26</v>
      </c>
      <c r="D20" s="13" t="s">
        <v>24</v>
      </c>
      <c r="E20" s="13" t="s">
        <v>25</v>
      </c>
      <c r="F20" s="13">
        <v>6</v>
      </c>
      <c r="G20" s="13">
        <v>2173.5</v>
      </c>
      <c r="H20" s="13">
        <v>3709.0777500000004</v>
      </c>
    </row>
    <row r="21" spans="1:8" x14ac:dyDescent="0.35">
      <c r="A21" s="11">
        <v>40929</v>
      </c>
      <c r="B21" s="12">
        <v>1131</v>
      </c>
      <c r="C21" s="13" t="s">
        <v>27</v>
      </c>
      <c r="D21" s="13" t="s">
        <v>24</v>
      </c>
      <c r="E21" s="13" t="s">
        <v>28</v>
      </c>
      <c r="F21" s="13">
        <v>10</v>
      </c>
      <c r="G21" s="13">
        <v>5600</v>
      </c>
      <c r="H21" s="13">
        <v>4516.3999999999996</v>
      </c>
    </row>
    <row r="22" spans="1:8" x14ac:dyDescent="0.35">
      <c r="A22" s="11">
        <v>40930</v>
      </c>
      <c r="B22" s="12">
        <v>1132</v>
      </c>
      <c r="C22" s="13" t="s">
        <v>23</v>
      </c>
      <c r="D22" s="13" t="s">
        <v>24</v>
      </c>
      <c r="E22" s="13" t="s">
        <v>28</v>
      </c>
      <c r="F22" s="13">
        <v>6</v>
      </c>
      <c r="G22" s="13">
        <v>4608</v>
      </c>
      <c r="H22" s="13">
        <v>2575.4111999999996</v>
      </c>
    </row>
    <row r="23" spans="1:8" x14ac:dyDescent="0.35">
      <c r="A23" s="11">
        <v>40931</v>
      </c>
      <c r="B23" s="12">
        <v>1133</v>
      </c>
      <c r="C23" s="13" t="s">
        <v>26</v>
      </c>
      <c r="D23" s="13" t="s">
        <v>24</v>
      </c>
      <c r="E23" s="13" t="s">
        <v>28</v>
      </c>
      <c r="F23" s="13">
        <v>8</v>
      </c>
      <c r="G23" s="13">
        <v>5508</v>
      </c>
      <c r="H23" s="13">
        <v>1965.2544000000003</v>
      </c>
    </row>
    <row r="24" spans="1:8" x14ac:dyDescent="0.35">
      <c r="A24" s="11">
        <v>40932</v>
      </c>
      <c r="B24" s="12">
        <v>1134</v>
      </c>
      <c r="C24" s="13" t="s">
        <v>27</v>
      </c>
      <c r="D24" s="13" t="s">
        <v>24</v>
      </c>
      <c r="E24" s="13" t="s">
        <v>29</v>
      </c>
      <c r="F24" s="13">
        <v>9</v>
      </c>
      <c r="G24" s="13">
        <v>12735</v>
      </c>
      <c r="H24" s="13">
        <v>3907.0980000000004</v>
      </c>
    </row>
    <row r="25" spans="1:8" x14ac:dyDescent="0.35">
      <c r="A25" s="11">
        <v>40933</v>
      </c>
      <c r="B25" s="12">
        <v>1135</v>
      </c>
      <c r="C25" s="13" t="s">
        <v>23</v>
      </c>
      <c r="D25" s="13" t="s">
        <v>24</v>
      </c>
      <c r="E25" s="13" t="s">
        <v>29</v>
      </c>
      <c r="F25" s="13">
        <v>10</v>
      </c>
      <c r="G25" s="13">
        <v>13575</v>
      </c>
      <c r="H25" s="13">
        <v>1992.81</v>
      </c>
    </row>
    <row r="26" spans="1:8" x14ac:dyDescent="0.35">
      <c r="A26" s="11">
        <v>40934</v>
      </c>
      <c r="B26" s="12">
        <v>1136</v>
      </c>
      <c r="C26" s="13" t="s">
        <v>26</v>
      </c>
      <c r="D26" s="13" t="s">
        <v>24</v>
      </c>
      <c r="E26" s="13" t="s">
        <v>29</v>
      </c>
      <c r="F26" s="13">
        <v>9</v>
      </c>
      <c r="G26" s="13">
        <v>8892</v>
      </c>
      <c r="H26" s="13">
        <v>3084.6347999999998</v>
      </c>
    </row>
    <row r="27" spans="1:8" x14ac:dyDescent="0.35">
      <c r="A27" s="11">
        <v>40935</v>
      </c>
      <c r="B27" s="12">
        <v>1137</v>
      </c>
      <c r="C27" s="13" t="s">
        <v>27</v>
      </c>
      <c r="D27" s="13" t="s">
        <v>24</v>
      </c>
      <c r="E27" s="13" t="s">
        <v>25</v>
      </c>
      <c r="F27" s="13">
        <v>9</v>
      </c>
      <c r="G27" s="13">
        <v>6196.5</v>
      </c>
      <c r="H27" s="13">
        <v>3112.7084999999997</v>
      </c>
    </row>
    <row r="28" spans="1:8" x14ac:dyDescent="0.35">
      <c r="A28" s="11">
        <v>40936</v>
      </c>
      <c r="B28" s="12">
        <v>1138</v>
      </c>
      <c r="C28" s="13" t="s">
        <v>23</v>
      </c>
      <c r="D28" s="13" t="s">
        <v>24</v>
      </c>
      <c r="E28" s="13" t="s">
        <v>25</v>
      </c>
      <c r="F28" s="13">
        <v>7</v>
      </c>
      <c r="G28" s="13">
        <v>4063.5</v>
      </c>
      <c r="H28" s="13">
        <v>709.69027499999993</v>
      </c>
    </row>
    <row r="29" spans="1:8" x14ac:dyDescent="0.35">
      <c r="A29" s="11">
        <v>40937</v>
      </c>
      <c r="B29" s="12">
        <v>1139</v>
      </c>
      <c r="C29" s="13" t="s">
        <v>26</v>
      </c>
      <c r="D29" s="13" t="s">
        <v>24</v>
      </c>
      <c r="E29" s="13" t="s">
        <v>25</v>
      </c>
      <c r="F29" s="13">
        <v>9</v>
      </c>
      <c r="G29" s="13">
        <v>4464</v>
      </c>
      <c r="H29" s="13">
        <v>2483.5464000000002</v>
      </c>
    </row>
    <row r="30" spans="1:8" x14ac:dyDescent="0.35">
      <c r="A30" s="11">
        <v>40938</v>
      </c>
      <c r="B30" s="12">
        <v>1140</v>
      </c>
      <c r="C30" s="13" t="s">
        <v>27</v>
      </c>
      <c r="D30" s="13" t="s">
        <v>24</v>
      </c>
      <c r="E30" s="13" t="s">
        <v>28</v>
      </c>
      <c r="F30" s="13">
        <v>10</v>
      </c>
      <c r="G30" s="13">
        <v>10350</v>
      </c>
      <c r="H30" s="13">
        <v>4514.67</v>
      </c>
    </row>
    <row r="31" spans="1:8" x14ac:dyDescent="0.35">
      <c r="A31" s="11">
        <v>40939</v>
      </c>
      <c r="B31" s="12">
        <v>1141</v>
      </c>
      <c r="C31" s="13" t="s">
        <v>23</v>
      </c>
      <c r="D31" s="13" t="s">
        <v>24</v>
      </c>
      <c r="E31" s="13" t="s">
        <v>28</v>
      </c>
      <c r="F31" s="13">
        <v>10</v>
      </c>
      <c r="G31" s="13">
        <v>8680</v>
      </c>
      <c r="H31" s="13">
        <v>2494.6320000000001</v>
      </c>
    </row>
    <row r="32" spans="1:8" x14ac:dyDescent="0.35">
      <c r="A32" s="11">
        <v>40940</v>
      </c>
      <c r="B32" s="12">
        <v>1142</v>
      </c>
      <c r="C32" s="13" t="s">
        <v>26</v>
      </c>
      <c r="D32" s="13" t="s">
        <v>24</v>
      </c>
      <c r="E32" s="13" t="s">
        <v>28</v>
      </c>
      <c r="F32" s="13">
        <v>9</v>
      </c>
      <c r="G32" s="13">
        <v>13050</v>
      </c>
      <c r="H32" s="13">
        <v>2179.35</v>
      </c>
    </row>
    <row r="33" spans="1:8" x14ac:dyDescent="0.35">
      <c r="A33" s="11">
        <v>40941</v>
      </c>
      <c r="B33" s="12">
        <v>1143</v>
      </c>
      <c r="C33" s="13" t="s">
        <v>27</v>
      </c>
      <c r="D33" s="13" t="s">
        <v>24</v>
      </c>
      <c r="E33" s="13" t="s">
        <v>29</v>
      </c>
      <c r="F33" s="13">
        <v>8</v>
      </c>
      <c r="G33" s="13">
        <v>2312</v>
      </c>
      <c r="H33" s="13">
        <v>999.93999999999994</v>
      </c>
    </row>
    <row r="34" spans="1:8" x14ac:dyDescent="0.35">
      <c r="A34" s="11">
        <v>40942</v>
      </c>
      <c r="B34" s="12">
        <v>1144</v>
      </c>
      <c r="C34" s="13" t="s">
        <v>23</v>
      </c>
      <c r="D34" s="13" t="s">
        <v>24</v>
      </c>
      <c r="E34" s="13" t="s">
        <v>29</v>
      </c>
      <c r="F34" s="13">
        <v>6</v>
      </c>
      <c r="G34" s="13">
        <v>3060</v>
      </c>
      <c r="H34" s="13">
        <v>461.60100000000006</v>
      </c>
    </row>
    <row r="35" spans="1:8" x14ac:dyDescent="0.35">
      <c r="A35" s="11">
        <v>40943</v>
      </c>
      <c r="B35" s="12">
        <v>1145</v>
      </c>
      <c r="C35" s="13" t="s">
        <v>26</v>
      </c>
      <c r="D35" s="13" t="s">
        <v>24</v>
      </c>
      <c r="E35" s="13" t="s">
        <v>29</v>
      </c>
      <c r="F35" s="13">
        <v>8</v>
      </c>
      <c r="G35" s="13">
        <v>9810</v>
      </c>
      <c r="H35" s="13">
        <v>744.77520000000004</v>
      </c>
    </row>
    <row r="36" spans="1:8" x14ac:dyDescent="0.35">
      <c r="A36" s="11">
        <v>40944</v>
      </c>
      <c r="B36" s="12">
        <v>1146</v>
      </c>
      <c r="C36" s="13" t="s">
        <v>27</v>
      </c>
      <c r="D36" s="13" t="s">
        <v>24</v>
      </c>
      <c r="E36" s="13" t="s">
        <v>25</v>
      </c>
      <c r="F36" s="13">
        <v>10</v>
      </c>
      <c r="G36" s="13">
        <v>8120</v>
      </c>
      <c r="H36" s="13">
        <v>2571.8069999999998</v>
      </c>
    </row>
    <row r="37" spans="1:8" x14ac:dyDescent="0.35">
      <c r="A37" s="11">
        <v>40945</v>
      </c>
      <c r="B37" s="12">
        <v>1147</v>
      </c>
      <c r="C37" s="13" t="s">
        <v>23</v>
      </c>
      <c r="D37" s="13" t="s">
        <v>24</v>
      </c>
      <c r="E37" s="13" t="s">
        <v>25</v>
      </c>
      <c r="F37" s="13">
        <v>7</v>
      </c>
      <c r="G37" s="13">
        <v>6520.5</v>
      </c>
      <c r="H37" s="13">
        <v>1443.6387</v>
      </c>
    </row>
    <row r="38" spans="1:8" x14ac:dyDescent="0.35">
      <c r="A38" s="11">
        <v>40946</v>
      </c>
      <c r="B38" s="12">
        <v>1148</v>
      </c>
      <c r="C38" s="13" t="s">
        <v>26</v>
      </c>
      <c r="D38" s="13" t="s">
        <v>24</v>
      </c>
      <c r="E38" s="13" t="s">
        <v>25</v>
      </c>
      <c r="F38" s="13">
        <v>6</v>
      </c>
      <c r="G38" s="13">
        <v>12060</v>
      </c>
      <c r="H38" s="13">
        <v>4258.6271999999999</v>
      </c>
    </row>
    <row r="39" spans="1:8" x14ac:dyDescent="0.35">
      <c r="A39" s="11">
        <v>40947</v>
      </c>
      <c r="B39" s="12">
        <v>1149</v>
      </c>
      <c r="C39" s="13" t="s">
        <v>27</v>
      </c>
      <c r="D39" s="13" t="s">
        <v>24</v>
      </c>
      <c r="E39" s="13" t="s">
        <v>28</v>
      </c>
      <c r="F39" s="13">
        <v>8</v>
      </c>
      <c r="G39" s="13">
        <v>8544</v>
      </c>
      <c r="H39" s="13">
        <v>3347.1120000000001</v>
      </c>
    </row>
    <row r="40" spans="1:8" x14ac:dyDescent="0.35">
      <c r="A40" s="11">
        <v>40948</v>
      </c>
      <c r="B40" s="12">
        <v>1150</v>
      </c>
      <c r="C40" s="13" t="s">
        <v>23</v>
      </c>
      <c r="D40" s="13" t="s">
        <v>24</v>
      </c>
      <c r="E40" s="13" t="s">
        <v>28</v>
      </c>
      <c r="F40" s="13">
        <v>7</v>
      </c>
      <c r="G40" s="13">
        <v>7024.5</v>
      </c>
      <c r="H40" s="13">
        <v>2027.739</v>
      </c>
    </row>
    <row r="41" spans="1:8" x14ac:dyDescent="0.35">
      <c r="A41" s="11">
        <v>40949</v>
      </c>
      <c r="B41" s="12">
        <v>1151</v>
      </c>
      <c r="C41" s="13" t="s">
        <v>26</v>
      </c>
      <c r="D41" s="13" t="s">
        <v>24</v>
      </c>
      <c r="E41" s="13" t="s">
        <v>28</v>
      </c>
      <c r="F41" s="13">
        <v>7</v>
      </c>
      <c r="G41" s="13">
        <v>14017.5</v>
      </c>
      <c r="H41" s="13">
        <v>3352.4253000000003</v>
      </c>
    </row>
    <row r="42" spans="1:8" x14ac:dyDescent="0.35">
      <c r="A42" s="11">
        <v>40950</v>
      </c>
      <c r="B42" s="12">
        <v>1152</v>
      </c>
      <c r="C42" s="13" t="s">
        <v>27</v>
      </c>
      <c r="D42" s="13" t="s">
        <v>24</v>
      </c>
      <c r="E42" s="13" t="s">
        <v>29</v>
      </c>
      <c r="F42" s="13">
        <v>8</v>
      </c>
      <c r="G42" s="13">
        <v>4056</v>
      </c>
      <c r="H42" s="13">
        <v>1843.4520000000002</v>
      </c>
    </row>
    <row r="43" spans="1:8" x14ac:dyDescent="0.35">
      <c r="A43" s="11">
        <v>40951</v>
      </c>
      <c r="B43" s="12">
        <v>1153</v>
      </c>
      <c r="C43" s="13" t="s">
        <v>23</v>
      </c>
      <c r="D43" s="13" t="s">
        <v>24</v>
      </c>
      <c r="E43" s="13" t="s">
        <v>29</v>
      </c>
      <c r="F43" s="13">
        <v>7</v>
      </c>
      <c r="G43" s="13">
        <v>2730</v>
      </c>
      <c r="H43" s="13">
        <v>4393.116</v>
      </c>
    </row>
    <row r="44" spans="1:8" x14ac:dyDescent="0.35">
      <c r="A44" s="11">
        <v>40952</v>
      </c>
      <c r="B44" s="12">
        <v>1154</v>
      </c>
      <c r="C44" s="13" t="s">
        <v>26</v>
      </c>
      <c r="D44" s="13" t="s">
        <v>24</v>
      </c>
      <c r="E44" s="13" t="s">
        <v>29</v>
      </c>
      <c r="F44" s="13">
        <v>6</v>
      </c>
      <c r="G44" s="13">
        <v>6804</v>
      </c>
      <c r="H44" s="13">
        <v>3755.808</v>
      </c>
    </row>
    <row r="45" spans="1:8" x14ac:dyDescent="0.35">
      <c r="A45" s="11">
        <v>40953</v>
      </c>
      <c r="B45" s="12">
        <v>1155</v>
      </c>
      <c r="C45" s="13" t="s">
        <v>27</v>
      </c>
      <c r="D45" s="13" t="s">
        <v>24</v>
      </c>
      <c r="E45" s="13" t="s">
        <v>25</v>
      </c>
      <c r="F45" s="13">
        <v>7</v>
      </c>
      <c r="G45" s="13">
        <v>8778</v>
      </c>
      <c r="H45" s="13">
        <v>1690.6428000000001</v>
      </c>
    </row>
    <row r="46" spans="1:8" x14ac:dyDescent="0.35">
      <c r="A46" s="11">
        <v>40954</v>
      </c>
      <c r="B46" s="12">
        <v>1156</v>
      </c>
      <c r="C46" s="13" t="s">
        <v>23</v>
      </c>
      <c r="D46" s="13" t="s">
        <v>24</v>
      </c>
      <c r="E46" s="13" t="s">
        <v>25</v>
      </c>
      <c r="F46" s="13">
        <v>8</v>
      </c>
      <c r="G46" s="13">
        <v>2304</v>
      </c>
      <c r="H46" s="13">
        <v>1475.9423999999999</v>
      </c>
    </row>
    <row r="47" spans="1:8" x14ac:dyDescent="0.35">
      <c r="A47" s="11">
        <v>40955</v>
      </c>
      <c r="B47" s="12">
        <v>1157</v>
      </c>
      <c r="C47" s="13" t="s">
        <v>26</v>
      </c>
      <c r="D47" s="13" t="s">
        <v>24</v>
      </c>
      <c r="E47" s="13" t="s">
        <v>25</v>
      </c>
      <c r="F47" s="13">
        <v>10</v>
      </c>
      <c r="G47" s="13">
        <v>9150</v>
      </c>
      <c r="H47" s="13">
        <v>1103.124</v>
      </c>
    </row>
    <row r="48" spans="1:8" x14ac:dyDescent="0.35">
      <c r="A48" s="11">
        <v>40956</v>
      </c>
      <c r="B48" s="12">
        <v>1158</v>
      </c>
      <c r="C48" s="13" t="s">
        <v>27</v>
      </c>
      <c r="D48" s="13" t="s">
        <v>24</v>
      </c>
      <c r="E48" s="13" t="s">
        <v>28</v>
      </c>
      <c r="F48" s="13">
        <v>8</v>
      </c>
      <c r="G48" s="13">
        <v>7584</v>
      </c>
      <c r="H48" s="13">
        <v>1378.7711999999999</v>
      </c>
    </row>
    <row r="49" spans="1:8" x14ac:dyDescent="0.35">
      <c r="A49" s="11">
        <v>40957</v>
      </c>
      <c r="B49" s="12">
        <v>1159</v>
      </c>
      <c r="C49" s="13" t="s">
        <v>23</v>
      </c>
      <c r="D49" s="13" t="s">
        <v>24</v>
      </c>
      <c r="E49" s="13" t="s">
        <v>28</v>
      </c>
      <c r="F49" s="13">
        <v>10</v>
      </c>
      <c r="G49" s="13">
        <v>14900</v>
      </c>
      <c r="H49" s="13">
        <v>985.48599999999999</v>
      </c>
    </row>
    <row r="50" spans="1:8" x14ac:dyDescent="0.35">
      <c r="A50" s="11">
        <v>40958</v>
      </c>
      <c r="B50" s="12">
        <v>1160</v>
      </c>
      <c r="C50" s="13" t="s">
        <v>26</v>
      </c>
      <c r="D50" s="13" t="s">
        <v>24</v>
      </c>
      <c r="E50" s="13" t="s">
        <v>28</v>
      </c>
      <c r="F50" s="13">
        <v>6</v>
      </c>
      <c r="G50" s="13">
        <v>8964</v>
      </c>
      <c r="H50" s="13">
        <v>877.3515000000001</v>
      </c>
    </row>
    <row r="51" spans="1:8" x14ac:dyDescent="0.35">
      <c r="A51" s="11">
        <v>40959</v>
      </c>
      <c r="B51" s="12">
        <v>1161</v>
      </c>
      <c r="C51" s="13" t="s">
        <v>27</v>
      </c>
      <c r="D51" s="13" t="s">
        <v>24</v>
      </c>
      <c r="E51" s="13" t="s">
        <v>29</v>
      </c>
      <c r="F51" s="13">
        <v>9</v>
      </c>
      <c r="G51" s="13">
        <v>2079</v>
      </c>
      <c r="H51" s="13">
        <v>2799.1656000000003</v>
      </c>
    </row>
    <row r="52" spans="1:8" x14ac:dyDescent="0.35">
      <c r="A52" s="11">
        <v>40960</v>
      </c>
      <c r="B52" s="12">
        <v>1162</v>
      </c>
      <c r="C52" s="13" t="s">
        <v>23</v>
      </c>
      <c r="D52" s="13" t="s">
        <v>24</v>
      </c>
      <c r="E52" s="13" t="s">
        <v>29</v>
      </c>
      <c r="F52" s="13">
        <v>6</v>
      </c>
      <c r="G52" s="13">
        <v>2412</v>
      </c>
      <c r="H52" s="13">
        <v>2078.1792</v>
      </c>
    </row>
    <row r="53" spans="1:8" x14ac:dyDescent="0.35">
      <c r="A53" s="11">
        <v>40961</v>
      </c>
      <c r="B53" s="12">
        <v>1163</v>
      </c>
      <c r="C53" s="13" t="s">
        <v>26</v>
      </c>
      <c r="D53" s="13" t="s">
        <v>24</v>
      </c>
      <c r="E53" s="13" t="s">
        <v>29</v>
      </c>
      <c r="F53" s="13">
        <v>7</v>
      </c>
      <c r="G53" s="13">
        <v>4189.5</v>
      </c>
      <c r="H53" s="13">
        <v>2660.3325000000004</v>
      </c>
    </row>
    <row r="54" spans="1:8" x14ac:dyDescent="0.35">
      <c r="A54" s="11">
        <v>40962</v>
      </c>
      <c r="B54" s="12">
        <v>1164</v>
      </c>
      <c r="C54" s="13" t="s">
        <v>27</v>
      </c>
      <c r="D54" s="13" t="s">
        <v>24</v>
      </c>
      <c r="E54" s="13" t="s">
        <v>25</v>
      </c>
      <c r="F54" s="13">
        <v>8</v>
      </c>
      <c r="G54" s="13">
        <v>10080</v>
      </c>
      <c r="H54" s="13">
        <v>1541.4335999999998</v>
      </c>
    </row>
    <row r="55" spans="1:8" x14ac:dyDescent="0.35">
      <c r="A55" s="11">
        <v>40963</v>
      </c>
      <c r="B55" s="12">
        <v>1165</v>
      </c>
      <c r="C55" s="13" t="s">
        <v>23</v>
      </c>
      <c r="D55" s="13" t="s">
        <v>24</v>
      </c>
      <c r="E55" s="13" t="s">
        <v>25</v>
      </c>
      <c r="F55" s="13">
        <v>9</v>
      </c>
      <c r="G55" s="13">
        <v>5076</v>
      </c>
      <c r="H55" s="13">
        <v>1053.27</v>
      </c>
    </row>
    <row r="56" spans="1:8" x14ac:dyDescent="0.35">
      <c r="A56" s="11">
        <v>40964</v>
      </c>
      <c r="B56" s="12">
        <v>1166</v>
      </c>
      <c r="C56" s="13" t="s">
        <v>26</v>
      </c>
      <c r="D56" s="13" t="s">
        <v>24</v>
      </c>
      <c r="E56" s="13" t="s">
        <v>25</v>
      </c>
      <c r="F56" s="13">
        <v>6</v>
      </c>
      <c r="G56" s="13">
        <v>9315</v>
      </c>
      <c r="H56" s="13">
        <v>4057.6140000000005</v>
      </c>
    </row>
    <row r="57" spans="1:8" x14ac:dyDescent="0.35">
      <c r="A57" s="11">
        <v>40965</v>
      </c>
      <c r="B57" s="12">
        <v>1167</v>
      </c>
      <c r="C57" s="13" t="s">
        <v>27</v>
      </c>
      <c r="D57" s="13" t="s">
        <v>24</v>
      </c>
      <c r="E57" s="13" t="s">
        <v>28</v>
      </c>
      <c r="F57" s="13">
        <v>10</v>
      </c>
      <c r="G57" s="13">
        <v>11280</v>
      </c>
      <c r="H57" s="13">
        <v>4693.8899999999994</v>
      </c>
    </row>
    <row r="58" spans="1:8" x14ac:dyDescent="0.35">
      <c r="A58" s="11">
        <v>40966</v>
      </c>
      <c r="B58" s="12">
        <v>1168</v>
      </c>
      <c r="C58" s="13" t="s">
        <v>23</v>
      </c>
      <c r="D58" s="13" t="s">
        <v>24</v>
      </c>
      <c r="E58" s="13" t="s">
        <v>28</v>
      </c>
      <c r="F58" s="13">
        <v>7</v>
      </c>
      <c r="G58" s="13">
        <v>8946</v>
      </c>
      <c r="H58" s="13">
        <v>909.80820000000006</v>
      </c>
    </row>
    <row r="59" spans="1:8" x14ac:dyDescent="0.35">
      <c r="A59" s="11">
        <v>40967</v>
      </c>
      <c r="B59" s="12">
        <v>1169</v>
      </c>
      <c r="C59" s="13" t="s">
        <v>26</v>
      </c>
      <c r="D59" s="13" t="s">
        <v>24</v>
      </c>
      <c r="E59" s="13" t="s">
        <v>28</v>
      </c>
      <c r="F59" s="13">
        <v>8</v>
      </c>
      <c r="G59" s="13">
        <v>8568</v>
      </c>
      <c r="H59" s="13">
        <v>3129.0336000000007</v>
      </c>
    </row>
    <row r="60" spans="1:8" x14ac:dyDescent="0.35">
      <c r="A60" s="11">
        <v>40969</v>
      </c>
      <c r="B60" s="12">
        <v>1170</v>
      </c>
      <c r="C60" s="13" t="s">
        <v>27</v>
      </c>
      <c r="D60" s="13" t="s">
        <v>24</v>
      </c>
      <c r="E60" s="13" t="s">
        <v>29</v>
      </c>
      <c r="F60" s="13">
        <v>8</v>
      </c>
      <c r="G60" s="13">
        <v>2178</v>
      </c>
      <c r="H60" s="13">
        <v>2062.7837999999997</v>
      </c>
    </row>
    <row r="61" spans="1:8" x14ac:dyDescent="0.35">
      <c r="A61" s="11">
        <v>40970</v>
      </c>
      <c r="B61" s="12">
        <v>1171</v>
      </c>
      <c r="C61" s="13" t="s">
        <v>23</v>
      </c>
      <c r="D61" s="13" t="s">
        <v>24</v>
      </c>
      <c r="E61" s="13" t="s">
        <v>29</v>
      </c>
      <c r="F61" s="13">
        <v>9</v>
      </c>
      <c r="G61" s="13">
        <v>8100</v>
      </c>
      <c r="H61" s="13">
        <v>2295.864</v>
      </c>
    </row>
    <row r="62" spans="1:8" x14ac:dyDescent="0.35">
      <c r="A62" s="11">
        <v>40971</v>
      </c>
      <c r="B62" s="12">
        <v>1172</v>
      </c>
      <c r="C62" s="13" t="s">
        <v>26</v>
      </c>
      <c r="D62" s="13" t="s">
        <v>24</v>
      </c>
      <c r="E62" s="13" t="s">
        <v>29</v>
      </c>
      <c r="F62" s="13">
        <v>9</v>
      </c>
      <c r="G62" s="13">
        <v>2106</v>
      </c>
      <c r="H62" s="13">
        <v>4223.5829999999996</v>
      </c>
    </row>
    <row r="63" spans="1:8" x14ac:dyDescent="0.35">
      <c r="A63" s="11">
        <v>40972</v>
      </c>
      <c r="B63" s="12">
        <v>1173</v>
      </c>
      <c r="C63" s="13" t="s">
        <v>27</v>
      </c>
      <c r="D63" s="13" t="s">
        <v>24</v>
      </c>
      <c r="E63" s="13" t="s">
        <v>25</v>
      </c>
      <c r="F63" s="13">
        <v>10</v>
      </c>
      <c r="G63" s="13">
        <v>8480</v>
      </c>
      <c r="H63" s="13">
        <v>1349.1679999999999</v>
      </c>
    </row>
    <row r="64" spans="1:8" x14ac:dyDescent="0.35">
      <c r="A64" s="11">
        <v>40973</v>
      </c>
      <c r="B64" s="12">
        <v>1174</v>
      </c>
      <c r="C64" s="13" t="s">
        <v>23</v>
      </c>
      <c r="D64" s="13" t="s">
        <v>24</v>
      </c>
      <c r="E64" s="13" t="s">
        <v>25</v>
      </c>
      <c r="F64" s="13">
        <v>6</v>
      </c>
      <c r="G64" s="13">
        <v>5220</v>
      </c>
      <c r="H64" s="13">
        <v>1052.8739999999998</v>
      </c>
    </row>
    <row r="65" spans="1:8" x14ac:dyDescent="0.35">
      <c r="A65" s="11">
        <v>41339</v>
      </c>
      <c r="B65" s="12">
        <v>1175</v>
      </c>
      <c r="C65" s="13" t="s">
        <v>26</v>
      </c>
      <c r="D65" s="13" t="s">
        <v>24</v>
      </c>
      <c r="E65" s="13" t="s">
        <v>25</v>
      </c>
      <c r="F65" s="13">
        <v>6</v>
      </c>
      <c r="G65" s="13">
        <v>4410</v>
      </c>
      <c r="H65" s="13">
        <v>1489.2570000000001</v>
      </c>
    </row>
    <row r="66" spans="1:8" x14ac:dyDescent="0.35">
      <c r="A66" s="11">
        <v>41340</v>
      </c>
      <c r="B66" s="12">
        <v>1176</v>
      </c>
      <c r="C66" s="13" t="s">
        <v>27</v>
      </c>
      <c r="D66" s="13" t="s">
        <v>24</v>
      </c>
      <c r="E66" s="13" t="s">
        <v>28</v>
      </c>
      <c r="F66" s="13">
        <v>9</v>
      </c>
      <c r="G66" s="13">
        <v>2524.5</v>
      </c>
      <c r="H66" s="13">
        <v>2069.5850999999998</v>
      </c>
    </row>
    <row r="67" spans="1:8" x14ac:dyDescent="0.35">
      <c r="A67" s="11">
        <v>41341</v>
      </c>
      <c r="B67" s="12">
        <v>1177</v>
      </c>
      <c r="C67" s="13" t="s">
        <v>23</v>
      </c>
      <c r="D67" s="13" t="s">
        <v>24</v>
      </c>
      <c r="E67" s="13" t="s">
        <v>28</v>
      </c>
      <c r="F67" s="13">
        <v>9</v>
      </c>
      <c r="G67" s="13">
        <v>8505</v>
      </c>
      <c r="H67" s="13">
        <v>4672.08</v>
      </c>
    </row>
    <row r="68" spans="1:8" x14ac:dyDescent="0.35">
      <c r="A68" s="11">
        <v>41342</v>
      </c>
      <c r="B68" s="12">
        <v>1178</v>
      </c>
      <c r="C68" s="13" t="s">
        <v>26</v>
      </c>
      <c r="D68" s="13" t="s">
        <v>24</v>
      </c>
      <c r="E68" s="13" t="s">
        <v>28</v>
      </c>
      <c r="F68" s="13">
        <v>8</v>
      </c>
      <c r="G68" s="13">
        <v>10224</v>
      </c>
      <c r="H68" s="13">
        <v>941.88599999999997</v>
      </c>
    </row>
    <row r="69" spans="1:8" x14ac:dyDescent="0.35">
      <c r="A69" s="11">
        <v>41343</v>
      </c>
      <c r="B69" s="12">
        <v>1179</v>
      </c>
      <c r="C69" s="13" t="s">
        <v>27</v>
      </c>
      <c r="D69" s="13" t="s">
        <v>24</v>
      </c>
      <c r="E69" s="13" t="s">
        <v>29</v>
      </c>
      <c r="F69" s="13">
        <v>6</v>
      </c>
      <c r="G69" s="13">
        <v>12330</v>
      </c>
      <c r="H69" s="13">
        <v>1667.5092</v>
      </c>
    </row>
    <row r="70" spans="1:8" x14ac:dyDescent="0.35">
      <c r="A70" s="11">
        <v>41344</v>
      </c>
      <c r="B70" s="12">
        <v>1180</v>
      </c>
      <c r="C70" s="13" t="s">
        <v>23</v>
      </c>
      <c r="D70" s="13" t="s">
        <v>24</v>
      </c>
      <c r="E70" s="13" t="s">
        <v>29</v>
      </c>
      <c r="F70" s="13">
        <v>9</v>
      </c>
      <c r="G70" s="13">
        <v>4914</v>
      </c>
      <c r="H70" s="13">
        <v>4085.4996000000001</v>
      </c>
    </row>
    <row r="71" spans="1:8" x14ac:dyDescent="0.35">
      <c r="A71" s="11">
        <v>41345</v>
      </c>
      <c r="B71" s="12">
        <v>1181</v>
      </c>
      <c r="C71" s="13" t="s">
        <v>26</v>
      </c>
      <c r="D71" s="13" t="s">
        <v>24</v>
      </c>
      <c r="E71" s="13" t="s">
        <v>29</v>
      </c>
      <c r="F71" s="13">
        <v>7</v>
      </c>
      <c r="G71" s="13">
        <v>8032.5</v>
      </c>
      <c r="H71" s="13">
        <v>3396.1410000000001</v>
      </c>
    </row>
    <row r="72" spans="1:8" x14ac:dyDescent="0.35">
      <c r="A72" s="11">
        <v>41346</v>
      </c>
      <c r="B72" s="12">
        <v>1182</v>
      </c>
      <c r="C72" s="13" t="s">
        <v>27</v>
      </c>
      <c r="D72" s="13" t="s">
        <v>24</v>
      </c>
      <c r="E72" s="13" t="s">
        <v>25</v>
      </c>
      <c r="F72" s="13">
        <v>7</v>
      </c>
      <c r="G72" s="13">
        <v>8757</v>
      </c>
      <c r="H72" s="13">
        <v>1824.0831000000003</v>
      </c>
    </row>
    <row r="73" spans="1:8" x14ac:dyDescent="0.35">
      <c r="A73" s="11">
        <v>41347</v>
      </c>
      <c r="B73" s="12">
        <v>1183</v>
      </c>
      <c r="C73" s="13" t="s">
        <v>23</v>
      </c>
      <c r="D73" s="13" t="s">
        <v>24</v>
      </c>
      <c r="E73" s="13" t="s">
        <v>25</v>
      </c>
      <c r="F73" s="13">
        <v>6</v>
      </c>
      <c r="G73" s="13">
        <v>12330</v>
      </c>
      <c r="H73" s="13">
        <v>909.70740000000001</v>
      </c>
    </row>
    <row r="74" spans="1:8" x14ac:dyDescent="0.35">
      <c r="A74" s="11">
        <v>41348</v>
      </c>
      <c r="B74" s="12">
        <v>1184</v>
      </c>
      <c r="C74" s="13" t="s">
        <v>26</v>
      </c>
      <c r="D74" s="13" t="s">
        <v>24</v>
      </c>
      <c r="E74" s="13" t="s">
        <v>25</v>
      </c>
      <c r="F74" s="13">
        <v>10</v>
      </c>
      <c r="G74" s="13">
        <v>8440</v>
      </c>
      <c r="H74" s="13">
        <v>4225.2750000000005</v>
      </c>
    </row>
    <row r="75" spans="1:8" x14ac:dyDescent="0.35">
      <c r="A75" s="11">
        <v>41349</v>
      </c>
      <c r="B75" s="12">
        <v>1185</v>
      </c>
      <c r="C75" s="13" t="s">
        <v>27</v>
      </c>
      <c r="D75" s="13" t="s">
        <v>24</v>
      </c>
      <c r="E75" s="13" t="s">
        <v>28</v>
      </c>
      <c r="F75" s="13">
        <v>9</v>
      </c>
      <c r="G75" s="13">
        <v>7074</v>
      </c>
      <c r="H75" s="13">
        <v>2610.306</v>
      </c>
    </row>
    <row r="76" spans="1:8" x14ac:dyDescent="0.35">
      <c r="A76" s="11">
        <v>41350</v>
      </c>
      <c r="B76" s="12">
        <v>1186</v>
      </c>
      <c r="C76" s="13" t="s">
        <v>23</v>
      </c>
      <c r="D76" s="13" t="s">
        <v>24</v>
      </c>
      <c r="E76" s="13" t="s">
        <v>28</v>
      </c>
      <c r="F76" s="13">
        <v>10</v>
      </c>
      <c r="G76" s="13">
        <v>8040</v>
      </c>
      <c r="H76" s="13">
        <v>1930.806</v>
      </c>
    </row>
    <row r="77" spans="1:8" x14ac:dyDescent="0.35">
      <c r="A77" s="11">
        <v>41351</v>
      </c>
      <c r="B77" s="12">
        <v>1187</v>
      </c>
      <c r="C77" s="13" t="s">
        <v>26</v>
      </c>
      <c r="D77" s="13" t="s">
        <v>24</v>
      </c>
      <c r="E77" s="13" t="s">
        <v>28</v>
      </c>
      <c r="F77" s="13">
        <v>8</v>
      </c>
      <c r="G77" s="13">
        <v>11070</v>
      </c>
      <c r="H77" s="13">
        <v>3935.3850000000002</v>
      </c>
    </row>
    <row r="78" spans="1:8" x14ac:dyDescent="0.35">
      <c r="A78" s="11">
        <v>41352</v>
      </c>
      <c r="B78" s="12">
        <v>1188</v>
      </c>
      <c r="C78" s="13" t="s">
        <v>27</v>
      </c>
      <c r="D78" s="13" t="s">
        <v>24</v>
      </c>
      <c r="E78" s="13" t="s">
        <v>29</v>
      </c>
      <c r="F78" s="13">
        <v>9</v>
      </c>
      <c r="G78" s="13">
        <v>5913</v>
      </c>
      <c r="H78" s="13">
        <v>3893.1192000000001</v>
      </c>
    </row>
    <row r="79" spans="1:8" x14ac:dyDescent="0.35">
      <c r="A79" s="11">
        <v>41353</v>
      </c>
      <c r="B79" s="12">
        <v>1189</v>
      </c>
      <c r="C79" s="13" t="s">
        <v>23</v>
      </c>
      <c r="D79" s="13" t="s">
        <v>24</v>
      </c>
      <c r="E79" s="13" t="s">
        <v>29</v>
      </c>
      <c r="F79" s="13">
        <v>6</v>
      </c>
      <c r="G79" s="13">
        <v>10440</v>
      </c>
      <c r="H79" s="13">
        <v>2468.6424000000006</v>
      </c>
    </row>
    <row r="80" spans="1:8" x14ac:dyDescent="0.35">
      <c r="A80" s="11">
        <v>41354</v>
      </c>
      <c r="B80" s="12">
        <v>1190</v>
      </c>
      <c r="C80" s="13" t="s">
        <v>26</v>
      </c>
      <c r="D80" s="13" t="s">
        <v>24</v>
      </c>
      <c r="E80" s="13" t="s">
        <v>29</v>
      </c>
      <c r="F80" s="13">
        <v>7</v>
      </c>
      <c r="G80" s="13">
        <v>1648.5</v>
      </c>
      <c r="H80" s="13">
        <v>2758.2701999999999</v>
      </c>
    </row>
    <row r="81" spans="1:8" x14ac:dyDescent="0.35">
      <c r="A81" s="11">
        <v>41355</v>
      </c>
      <c r="B81" s="12">
        <v>1191</v>
      </c>
      <c r="C81" s="13" t="s">
        <v>27</v>
      </c>
      <c r="D81" s="13" t="s">
        <v>24</v>
      </c>
      <c r="E81" s="13" t="s">
        <v>25</v>
      </c>
      <c r="F81" s="13">
        <v>9</v>
      </c>
      <c r="G81" s="13">
        <v>13770</v>
      </c>
      <c r="H81" s="13">
        <v>1198.8162000000002</v>
      </c>
    </row>
    <row r="82" spans="1:8" x14ac:dyDescent="0.35">
      <c r="A82" s="11">
        <v>41356</v>
      </c>
      <c r="B82" s="12">
        <v>1192</v>
      </c>
      <c r="C82" s="13" t="s">
        <v>23</v>
      </c>
      <c r="D82" s="13" t="s">
        <v>24</v>
      </c>
      <c r="E82" s="13" t="s">
        <v>25</v>
      </c>
      <c r="F82" s="13">
        <v>6</v>
      </c>
      <c r="G82" s="13">
        <v>1647</v>
      </c>
      <c r="H82" s="13">
        <v>702.44549999999992</v>
      </c>
    </row>
    <row r="83" spans="1:8" x14ac:dyDescent="0.35">
      <c r="A83" s="11">
        <v>41357</v>
      </c>
      <c r="B83" s="12">
        <v>1193</v>
      </c>
      <c r="C83" s="13" t="s">
        <v>26</v>
      </c>
      <c r="D83" s="13" t="s">
        <v>24</v>
      </c>
      <c r="E83" s="13" t="s">
        <v>25</v>
      </c>
      <c r="F83" s="13">
        <v>9</v>
      </c>
      <c r="G83" s="13">
        <v>7911</v>
      </c>
      <c r="H83" s="13">
        <v>4921.9605000000001</v>
      </c>
    </row>
    <row r="84" spans="1:8" x14ac:dyDescent="0.35">
      <c r="A84" s="11">
        <v>41358</v>
      </c>
      <c r="B84" s="12">
        <v>1194</v>
      </c>
      <c r="C84" s="13" t="s">
        <v>27</v>
      </c>
      <c r="D84" s="13" t="s">
        <v>24</v>
      </c>
      <c r="E84" s="13" t="s">
        <v>28</v>
      </c>
      <c r="F84" s="13">
        <v>6</v>
      </c>
      <c r="G84" s="13">
        <v>6804</v>
      </c>
      <c r="H84" s="13">
        <v>2912.7923999999998</v>
      </c>
    </row>
    <row r="85" spans="1:8" x14ac:dyDescent="0.35">
      <c r="A85" s="11">
        <v>41359</v>
      </c>
      <c r="B85" s="12">
        <v>1195</v>
      </c>
      <c r="C85" s="13" t="s">
        <v>23</v>
      </c>
      <c r="D85" s="13" t="s">
        <v>24</v>
      </c>
      <c r="E85" s="13" t="s">
        <v>28</v>
      </c>
      <c r="F85" s="13">
        <v>9</v>
      </c>
      <c r="G85" s="13">
        <v>7965</v>
      </c>
      <c r="H85" s="13">
        <v>703.78740000000005</v>
      </c>
    </row>
    <row r="86" spans="1:8" x14ac:dyDescent="0.35">
      <c r="A86" s="11">
        <v>41360</v>
      </c>
      <c r="B86" s="12">
        <v>1196</v>
      </c>
      <c r="C86" s="13" t="s">
        <v>26</v>
      </c>
      <c r="D86" s="13" t="s">
        <v>24</v>
      </c>
      <c r="E86" s="13" t="s">
        <v>28</v>
      </c>
      <c r="F86" s="13">
        <v>10</v>
      </c>
      <c r="G86" s="13">
        <v>3960</v>
      </c>
      <c r="H86" s="13">
        <v>1772.8919999999998</v>
      </c>
    </row>
    <row r="87" spans="1:8" x14ac:dyDescent="0.35">
      <c r="A87" s="11">
        <v>41361</v>
      </c>
      <c r="B87" s="12">
        <v>1197</v>
      </c>
      <c r="C87" s="13" t="s">
        <v>27</v>
      </c>
      <c r="D87" s="13" t="s">
        <v>24</v>
      </c>
      <c r="E87" s="13" t="s">
        <v>29</v>
      </c>
      <c r="F87" s="13">
        <v>10</v>
      </c>
      <c r="G87" s="13">
        <v>5130</v>
      </c>
      <c r="H87" s="13">
        <v>2639.3849999999998</v>
      </c>
    </row>
    <row r="88" spans="1:8" x14ac:dyDescent="0.35">
      <c r="A88" s="11">
        <v>41362</v>
      </c>
      <c r="B88" s="12">
        <v>1198</v>
      </c>
      <c r="C88" s="13" t="s">
        <v>23</v>
      </c>
      <c r="D88" s="13" t="s">
        <v>24</v>
      </c>
      <c r="E88" s="13" t="s">
        <v>29</v>
      </c>
      <c r="F88" s="13">
        <v>9</v>
      </c>
      <c r="G88" s="13">
        <v>2205</v>
      </c>
      <c r="H88" s="13">
        <v>3743.2080000000001</v>
      </c>
    </row>
    <row r="89" spans="1:8" x14ac:dyDescent="0.35">
      <c r="A89" s="11">
        <v>41363</v>
      </c>
      <c r="B89" s="12">
        <v>1199</v>
      </c>
      <c r="C89" s="13" t="s">
        <v>26</v>
      </c>
      <c r="D89" s="13" t="s">
        <v>24</v>
      </c>
      <c r="E89" s="13" t="s">
        <v>29</v>
      </c>
      <c r="F89" s="13">
        <v>9</v>
      </c>
      <c r="G89" s="13">
        <v>7749</v>
      </c>
      <c r="H89" s="13">
        <v>4713.9749999999995</v>
      </c>
    </row>
    <row r="90" spans="1:8" x14ac:dyDescent="0.35">
      <c r="A90" s="11">
        <v>41364</v>
      </c>
      <c r="B90" s="12">
        <v>1200</v>
      </c>
      <c r="C90" s="13" t="s">
        <v>27</v>
      </c>
      <c r="D90" s="13" t="s">
        <v>24</v>
      </c>
      <c r="E90" s="13" t="s">
        <v>25</v>
      </c>
      <c r="F90" s="13">
        <v>7</v>
      </c>
      <c r="G90" s="13">
        <v>13702.5</v>
      </c>
      <c r="H90" s="13">
        <v>4461.5339999999997</v>
      </c>
    </row>
    <row r="91" spans="1:8" x14ac:dyDescent="0.35">
      <c r="A91" s="11">
        <v>41365</v>
      </c>
      <c r="B91" s="12">
        <v>1201</v>
      </c>
      <c r="C91" s="13" t="s">
        <v>23</v>
      </c>
      <c r="D91" s="13" t="s">
        <v>24</v>
      </c>
      <c r="E91" s="13" t="s">
        <v>25</v>
      </c>
      <c r="F91" s="13">
        <v>6</v>
      </c>
      <c r="G91" s="13">
        <v>2232</v>
      </c>
      <c r="H91" s="13">
        <v>2587.3343999999997</v>
      </c>
    </row>
    <row r="92" spans="1:8" x14ac:dyDescent="0.35">
      <c r="A92" s="11">
        <v>41366</v>
      </c>
      <c r="B92" s="12">
        <v>1202</v>
      </c>
      <c r="C92" s="13" t="s">
        <v>26</v>
      </c>
      <c r="D92" s="13" t="s">
        <v>24</v>
      </c>
      <c r="E92" s="13" t="s">
        <v>25</v>
      </c>
      <c r="F92" s="13">
        <v>6</v>
      </c>
      <c r="G92" s="13">
        <v>7560</v>
      </c>
      <c r="H92" s="13">
        <v>724.81500000000005</v>
      </c>
    </row>
    <row r="93" spans="1:8" x14ac:dyDescent="0.35">
      <c r="A93" s="11">
        <v>41367</v>
      </c>
      <c r="B93" s="12">
        <v>1203</v>
      </c>
      <c r="C93" s="13" t="s">
        <v>27</v>
      </c>
      <c r="D93" s="13" t="s">
        <v>24</v>
      </c>
      <c r="E93" s="13" t="s">
        <v>28</v>
      </c>
      <c r="F93" s="13">
        <v>7</v>
      </c>
      <c r="G93" s="13">
        <v>2094.75</v>
      </c>
      <c r="H93" s="13">
        <v>792.23444999999992</v>
      </c>
    </row>
    <row r="94" spans="1:8" x14ac:dyDescent="0.35">
      <c r="A94" s="11">
        <v>41368</v>
      </c>
      <c r="B94" s="12">
        <v>1204</v>
      </c>
      <c r="C94" s="13" t="s">
        <v>23</v>
      </c>
      <c r="D94" s="13" t="s">
        <v>24</v>
      </c>
      <c r="E94" s="13" t="s">
        <v>28</v>
      </c>
      <c r="F94" s="13">
        <v>7</v>
      </c>
      <c r="G94" s="13">
        <v>1669.5</v>
      </c>
      <c r="H94" s="13">
        <v>1459.143</v>
      </c>
    </row>
    <row r="95" spans="1:8" x14ac:dyDescent="0.35">
      <c r="A95" s="11">
        <v>41369</v>
      </c>
      <c r="B95" s="12">
        <v>1205</v>
      </c>
      <c r="C95" s="13" t="s">
        <v>26</v>
      </c>
      <c r="D95" s="13" t="s">
        <v>24</v>
      </c>
      <c r="E95" s="13" t="s">
        <v>28</v>
      </c>
      <c r="F95" s="13">
        <v>10</v>
      </c>
      <c r="G95" s="13">
        <v>3330</v>
      </c>
      <c r="H95" s="13">
        <v>1439.8920000000001</v>
      </c>
    </row>
    <row r="96" spans="1:8" x14ac:dyDescent="0.35">
      <c r="A96" s="11">
        <v>41370</v>
      </c>
      <c r="B96" s="12">
        <v>1206</v>
      </c>
      <c r="C96" s="13" t="s">
        <v>27</v>
      </c>
      <c r="D96" s="13" t="s">
        <v>24</v>
      </c>
      <c r="E96" s="13" t="s">
        <v>29</v>
      </c>
      <c r="F96" s="13">
        <v>9</v>
      </c>
      <c r="G96" s="13">
        <v>2970</v>
      </c>
      <c r="H96" s="13">
        <v>1062.3689999999999</v>
      </c>
    </row>
    <row r="97" spans="1:8" x14ac:dyDescent="0.35">
      <c r="A97" s="11">
        <v>41371</v>
      </c>
      <c r="B97" s="12">
        <v>1207</v>
      </c>
      <c r="C97" s="13" t="s">
        <v>23</v>
      </c>
      <c r="D97" s="13" t="s">
        <v>24</v>
      </c>
      <c r="E97" s="13" t="s">
        <v>29</v>
      </c>
      <c r="F97" s="13">
        <v>10</v>
      </c>
      <c r="G97" s="13">
        <v>2180</v>
      </c>
      <c r="H97" s="13">
        <v>978.82</v>
      </c>
    </row>
    <row r="98" spans="1:8" x14ac:dyDescent="0.35">
      <c r="A98" s="11">
        <v>41372</v>
      </c>
      <c r="B98" s="12">
        <v>1208</v>
      </c>
      <c r="C98" s="13" t="s">
        <v>26</v>
      </c>
      <c r="D98" s="13" t="s">
        <v>24</v>
      </c>
      <c r="E98" s="13" t="s">
        <v>29</v>
      </c>
      <c r="F98" s="13">
        <v>9</v>
      </c>
      <c r="G98" s="13">
        <v>7290</v>
      </c>
      <c r="H98" s="13">
        <v>2436.3180000000002</v>
      </c>
    </row>
    <row r="99" spans="1:8" x14ac:dyDescent="0.35">
      <c r="A99" s="11">
        <v>41373</v>
      </c>
      <c r="B99" s="12">
        <v>1209</v>
      </c>
      <c r="C99" s="13" t="s">
        <v>27</v>
      </c>
      <c r="D99" s="13" t="s">
        <v>24</v>
      </c>
      <c r="E99" s="13" t="s">
        <v>25</v>
      </c>
      <c r="F99" s="13">
        <v>8</v>
      </c>
      <c r="G99" s="13">
        <v>13740</v>
      </c>
      <c r="H99" s="13">
        <v>2186.8583999999996</v>
      </c>
    </row>
    <row r="100" spans="1:8" x14ac:dyDescent="0.35">
      <c r="A100" s="11">
        <v>41374</v>
      </c>
      <c r="B100" s="12">
        <v>1210</v>
      </c>
      <c r="C100" s="13" t="s">
        <v>23</v>
      </c>
      <c r="D100" s="13" t="s">
        <v>24</v>
      </c>
      <c r="E100" s="13" t="s">
        <v>25</v>
      </c>
      <c r="F100" s="13">
        <v>6</v>
      </c>
      <c r="G100" s="13">
        <v>8820</v>
      </c>
      <c r="H100" s="13">
        <v>2685.5136000000002</v>
      </c>
    </row>
    <row r="101" spans="1:8" x14ac:dyDescent="0.35">
      <c r="A101" s="11">
        <v>41375</v>
      </c>
      <c r="B101" s="12">
        <v>1211</v>
      </c>
      <c r="C101" s="13" t="s">
        <v>26</v>
      </c>
      <c r="D101" s="13" t="s">
        <v>24</v>
      </c>
      <c r="E101" s="13" t="s">
        <v>25</v>
      </c>
      <c r="F101" s="13">
        <v>6</v>
      </c>
      <c r="G101" s="13">
        <v>3132</v>
      </c>
      <c r="H101" s="13">
        <v>472.46220000000005</v>
      </c>
    </row>
    <row r="102" spans="1:8" x14ac:dyDescent="0.35">
      <c r="A102" s="11">
        <v>41376</v>
      </c>
      <c r="B102" s="12">
        <v>1212</v>
      </c>
      <c r="C102" s="13" t="s">
        <v>27</v>
      </c>
      <c r="D102" s="13" t="s">
        <v>24</v>
      </c>
      <c r="E102" s="13" t="s">
        <v>28</v>
      </c>
      <c r="F102" s="13">
        <v>9</v>
      </c>
      <c r="G102" s="13">
        <v>2207.25</v>
      </c>
      <c r="H102" s="13">
        <v>3782.122875</v>
      </c>
    </row>
    <row r="103" spans="1:8" x14ac:dyDescent="0.35">
      <c r="A103" s="11">
        <v>41377</v>
      </c>
      <c r="B103" s="12">
        <v>1213</v>
      </c>
      <c r="C103" s="13" t="s">
        <v>23</v>
      </c>
      <c r="D103" s="13" t="s">
        <v>24</v>
      </c>
      <c r="E103" s="13" t="s">
        <v>28</v>
      </c>
      <c r="F103" s="13">
        <v>10</v>
      </c>
      <c r="G103" s="13">
        <v>6075</v>
      </c>
      <c r="H103" s="13">
        <v>623.70000000000005</v>
      </c>
    </row>
    <row r="104" spans="1:8" x14ac:dyDescent="0.35">
      <c r="A104" s="11">
        <v>41378</v>
      </c>
      <c r="B104" s="12">
        <v>1214</v>
      </c>
      <c r="C104" s="13" t="s">
        <v>26</v>
      </c>
      <c r="D104" s="13" t="s">
        <v>24</v>
      </c>
      <c r="E104" s="13" t="s">
        <v>28</v>
      </c>
      <c r="F104" s="13">
        <v>9</v>
      </c>
      <c r="G104" s="13">
        <v>14445</v>
      </c>
      <c r="H104" s="13">
        <v>1257.5817000000002</v>
      </c>
    </row>
    <row r="105" spans="1:8" x14ac:dyDescent="0.35">
      <c r="A105" s="11">
        <v>41379</v>
      </c>
      <c r="B105" s="12">
        <v>1215</v>
      </c>
      <c r="C105" s="13" t="s">
        <v>27</v>
      </c>
      <c r="D105" s="13" t="s">
        <v>24</v>
      </c>
      <c r="E105" s="13" t="s">
        <v>29</v>
      </c>
      <c r="F105" s="13">
        <v>10</v>
      </c>
      <c r="G105" s="13">
        <v>5670</v>
      </c>
      <c r="H105" s="13">
        <v>1449.63</v>
      </c>
    </row>
    <row r="106" spans="1:8" x14ac:dyDescent="0.35">
      <c r="A106" s="11">
        <v>41380</v>
      </c>
      <c r="B106" s="12">
        <v>1216</v>
      </c>
      <c r="C106" s="13" t="s">
        <v>23</v>
      </c>
      <c r="D106" s="13" t="s">
        <v>24</v>
      </c>
      <c r="E106" s="13" t="s">
        <v>29</v>
      </c>
      <c r="F106" s="13">
        <v>8</v>
      </c>
      <c r="G106" s="13">
        <v>1998</v>
      </c>
      <c r="H106" s="13">
        <v>666.73260000000005</v>
      </c>
    </row>
    <row r="107" spans="1:8" x14ac:dyDescent="0.35">
      <c r="A107" s="11">
        <v>41381</v>
      </c>
      <c r="B107" s="12">
        <v>1217</v>
      </c>
      <c r="C107" s="13" t="s">
        <v>26</v>
      </c>
      <c r="D107" s="13" t="s">
        <v>24</v>
      </c>
      <c r="E107" s="13" t="s">
        <v>29</v>
      </c>
      <c r="F107" s="13">
        <v>10</v>
      </c>
      <c r="G107" s="13">
        <v>6540</v>
      </c>
      <c r="H107" s="13">
        <v>1144.5</v>
      </c>
    </row>
    <row r="108" spans="1:8" x14ac:dyDescent="0.35">
      <c r="A108" s="11">
        <v>41382</v>
      </c>
      <c r="B108" s="12">
        <v>1218</v>
      </c>
      <c r="C108" s="13" t="s">
        <v>27</v>
      </c>
      <c r="D108" s="13" t="s">
        <v>24</v>
      </c>
      <c r="E108" s="13" t="s">
        <v>25</v>
      </c>
      <c r="F108" s="13">
        <v>10</v>
      </c>
      <c r="G108" s="13">
        <v>2940</v>
      </c>
      <c r="H108" s="13">
        <v>1210.104</v>
      </c>
    </row>
    <row r="109" spans="1:8" x14ac:dyDescent="0.35">
      <c r="A109" s="11">
        <v>41383</v>
      </c>
      <c r="B109" s="12">
        <v>1219</v>
      </c>
      <c r="C109" s="13" t="s">
        <v>23</v>
      </c>
      <c r="D109" s="13" t="s">
        <v>24</v>
      </c>
      <c r="E109" s="13" t="s">
        <v>25</v>
      </c>
      <c r="F109" s="13">
        <v>8</v>
      </c>
      <c r="G109" s="13">
        <v>10020</v>
      </c>
      <c r="H109" s="13">
        <v>1214.0232000000001</v>
      </c>
    </row>
    <row r="110" spans="1:8" x14ac:dyDescent="0.35">
      <c r="A110" s="11">
        <v>41384</v>
      </c>
      <c r="B110" s="12">
        <v>1220</v>
      </c>
      <c r="C110" s="13" t="s">
        <v>26</v>
      </c>
      <c r="D110" s="13" t="s">
        <v>24</v>
      </c>
      <c r="E110" s="13" t="s">
        <v>25</v>
      </c>
      <c r="F110" s="13">
        <v>6</v>
      </c>
      <c r="G110" s="13">
        <v>2088</v>
      </c>
      <c r="H110" s="13">
        <v>1942.4663999999998</v>
      </c>
    </row>
    <row r="111" spans="1:8" x14ac:dyDescent="0.35">
      <c r="A111" s="11">
        <v>41385</v>
      </c>
      <c r="B111" s="12">
        <v>1221</v>
      </c>
      <c r="C111" s="13" t="s">
        <v>27</v>
      </c>
      <c r="D111" s="13" t="s">
        <v>24</v>
      </c>
      <c r="E111" s="13" t="s">
        <v>28</v>
      </c>
      <c r="F111" s="13">
        <v>10</v>
      </c>
      <c r="G111" s="13">
        <v>3270</v>
      </c>
      <c r="H111" s="13">
        <v>992.44499999999994</v>
      </c>
    </row>
    <row r="112" spans="1:8" x14ac:dyDescent="0.35">
      <c r="A112" s="11">
        <v>41386</v>
      </c>
      <c r="B112" s="12">
        <v>1222</v>
      </c>
      <c r="C112" s="13" t="s">
        <v>23</v>
      </c>
      <c r="D112" s="13" t="s">
        <v>24</v>
      </c>
      <c r="E112" s="13" t="s">
        <v>28</v>
      </c>
      <c r="F112" s="13">
        <v>6</v>
      </c>
      <c r="G112" s="13">
        <v>6075</v>
      </c>
      <c r="H112" s="13">
        <v>3073.9500000000003</v>
      </c>
    </row>
    <row r="113" spans="1:8" x14ac:dyDescent="0.35">
      <c r="A113" s="11">
        <v>41387</v>
      </c>
      <c r="B113" s="12">
        <v>1223</v>
      </c>
      <c r="C113" s="13" t="s">
        <v>26</v>
      </c>
      <c r="D113" s="13" t="s">
        <v>24</v>
      </c>
      <c r="E113" s="13" t="s">
        <v>28</v>
      </c>
      <c r="F113" s="13">
        <v>8</v>
      </c>
      <c r="G113" s="13">
        <v>2352</v>
      </c>
      <c r="H113" s="13">
        <v>1022.8848</v>
      </c>
    </row>
    <row r="114" spans="1:8" x14ac:dyDescent="0.35">
      <c r="A114" s="11">
        <v>41388</v>
      </c>
      <c r="B114" s="12">
        <v>1224</v>
      </c>
      <c r="C114" s="13" t="s">
        <v>27</v>
      </c>
      <c r="D114" s="13" t="s">
        <v>24</v>
      </c>
      <c r="E114" s="13" t="s">
        <v>29</v>
      </c>
      <c r="F114" s="13">
        <v>7</v>
      </c>
      <c r="G114" s="13">
        <v>5775</v>
      </c>
      <c r="H114" s="13">
        <v>6108.5062500000004</v>
      </c>
    </row>
    <row r="115" spans="1:8" x14ac:dyDescent="0.35">
      <c r="A115" s="11">
        <v>41389</v>
      </c>
      <c r="B115" s="12">
        <v>1225</v>
      </c>
      <c r="C115" s="13" t="s">
        <v>23</v>
      </c>
      <c r="D115" s="13" t="s">
        <v>24</v>
      </c>
      <c r="E115" s="13" t="s">
        <v>29</v>
      </c>
      <c r="F115" s="13">
        <v>7</v>
      </c>
      <c r="G115" s="13">
        <v>2037</v>
      </c>
      <c r="H115" s="13">
        <v>815.81850000000009</v>
      </c>
    </row>
    <row r="116" spans="1:8" x14ac:dyDescent="0.35">
      <c r="A116" s="11">
        <v>41390</v>
      </c>
      <c r="B116" s="12">
        <v>1226</v>
      </c>
      <c r="C116" s="13" t="s">
        <v>26</v>
      </c>
      <c r="D116" s="13" t="s">
        <v>24</v>
      </c>
      <c r="E116" s="13" t="s">
        <v>29</v>
      </c>
      <c r="F116" s="13">
        <v>6</v>
      </c>
      <c r="G116" s="13">
        <v>3996</v>
      </c>
      <c r="H116" s="13">
        <v>1616.7816000000003</v>
      </c>
    </row>
    <row r="117" spans="1:8" x14ac:dyDescent="0.35">
      <c r="A117" s="11">
        <v>41391</v>
      </c>
      <c r="B117" s="12">
        <v>1227</v>
      </c>
      <c r="C117" s="13" t="s">
        <v>27</v>
      </c>
      <c r="D117" s="13" t="s">
        <v>24</v>
      </c>
      <c r="E117" s="13" t="s">
        <v>25</v>
      </c>
      <c r="F117" s="13">
        <v>9</v>
      </c>
      <c r="G117" s="13">
        <v>13837.5</v>
      </c>
      <c r="H117" s="13">
        <v>4455.6750000000002</v>
      </c>
    </row>
    <row r="118" spans="1:8" x14ac:dyDescent="0.35">
      <c r="A118" s="11">
        <v>41392</v>
      </c>
      <c r="B118" s="12">
        <v>1228</v>
      </c>
      <c r="C118" s="13" t="s">
        <v>23</v>
      </c>
      <c r="D118" s="13" t="s">
        <v>24</v>
      </c>
      <c r="E118" s="13" t="s">
        <v>25</v>
      </c>
      <c r="F118" s="13">
        <v>7</v>
      </c>
      <c r="G118" s="13">
        <v>1848</v>
      </c>
      <c r="H118" s="13">
        <v>1815.66</v>
      </c>
    </row>
    <row r="119" spans="1:8" x14ac:dyDescent="0.35">
      <c r="A119" s="11">
        <v>41393</v>
      </c>
      <c r="B119" s="12">
        <v>1229</v>
      </c>
      <c r="C119" s="13" t="s">
        <v>26</v>
      </c>
      <c r="D119" s="13" t="s">
        <v>24</v>
      </c>
      <c r="E119" s="13" t="s">
        <v>25</v>
      </c>
      <c r="F119" s="13">
        <v>9</v>
      </c>
      <c r="G119" s="13">
        <v>4464</v>
      </c>
      <c r="H119" s="13">
        <v>2679.2927999999997</v>
      </c>
    </row>
    <row r="120" spans="1:8" x14ac:dyDescent="0.35">
      <c r="A120" s="11">
        <v>41394</v>
      </c>
      <c r="B120" s="12">
        <v>1230</v>
      </c>
      <c r="C120" s="13" t="s">
        <v>27</v>
      </c>
      <c r="D120" s="13" t="s">
        <v>24</v>
      </c>
      <c r="E120" s="13" t="s">
        <v>28</v>
      </c>
      <c r="F120" s="13">
        <v>7</v>
      </c>
      <c r="G120" s="13">
        <v>8316</v>
      </c>
      <c r="H120" s="13">
        <v>3597.7095000000004</v>
      </c>
    </row>
    <row r="121" spans="1:8" x14ac:dyDescent="0.35">
      <c r="A121" s="11">
        <v>41395</v>
      </c>
      <c r="B121" s="12">
        <v>1231</v>
      </c>
      <c r="C121" s="13" t="s">
        <v>23</v>
      </c>
      <c r="D121" s="13" t="s">
        <v>24</v>
      </c>
      <c r="E121" s="13" t="s">
        <v>28</v>
      </c>
      <c r="F121" s="13">
        <v>8</v>
      </c>
      <c r="G121" s="13">
        <v>4920</v>
      </c>
      <c r="H121" s="13">
        <v>4207.5839999999998</v>
      </c>
    </row>
    <row r="122" spans="1:8" x14ac:dyDescent="0.35">
      <c r="A122" s="11">
        <v>41396</v>
      </c>
      <c r="B122" s="12">
        <v>1232</v>
      </c>
      <c r="C122" s="13" t="s">
        <v>26</v>
      </c>
      <c r="D122" s="13" t="s">
        <v>24</v>
      </c>
      <c r="E122" s="13" t="s">
        <v>28</v>
      </c>
      <c r="F122" s="13">
        <v>10</v>
      </c>
      <c r="G122" s="13">
        <v>5780</v>
      </c>
      <c r="H122" s="13">
        <v>951.96600000000012</v>
      </c>
    </row>
    <row r="123" spans="1:8" x14ac:dyDescent="0.35">
      <c r="A123" s="11">
        <v>41397</v>
      </c>
      <c r="B123" s="12">
        <v>1233</v>
      </c>
      <c r="C123" s="13" t="s">
        <v>27</v>
      </c>
      <c r="D123" s="13" t="s">
        <v>24</v>
      </c>
      <c r="E123" s="13" t="s">
        <v>29</v>
      </c>
      <c r="F123" s="13">
        <v>8</v>
      </c>
      <c r="G123" s="13">
        <v>3600</v>
      </c>
      <c r="H123" s="13">
        <v>1298.8799999999999</v>
      </c>
    </row>
    <row r="124" spans="1:8" x14ac:dyDescent="0.35">
      <c r="A124" s="11">
        <v>41398</v>
      </c>
      <c r="B124" s="12">
        <v>1234</v>
      </c>
      <c r="C124" s="13" t="s">
        <v>23</v>
      </c>
      <c r="D124" s="13" t="s">
        <v>24</v>
      </c>
      <c r="E124" s="13" t="s">
        <v>29</v>
      </c>
      <c r="F124" s="13">
        <v>10</v>
      </c>
      <c r="G124" s="13">
        <v>4920</v>
      </c>
      <c r="H124" s="13">
        <v>2483.3700000000003</v>
      </c>
    </row>
    <row r="125" spans="1:8" x14ac:dyDescent="0.35">
      <c r="A125" s="11">
        <v>41399</v>
      </c>
      <c r="B125" s="12">
        <v>1235</v>
      </c>
      <c r="C125" s="13" t="s">
        <v>26</v>
      </c>
      <c r="D125" s="13" t="s">
        <v>24</v>
      </c>
      <c r="E125" s="13" t="s">
        <v>29</v>
      </c>
      <c r="F125" s="13">
        <v>8</v>
      </c>
      <c r="G125" s="13">
        <v>5616</v>
      </c>
      <c r="H125" s="13">
        <v>1053.5616</v>
      </c>
    </row>
    <row r="126" spans="1:8" x14ac:dyDescent="0.35">
      <c r="A126" s="11">
        <v>41400</v>
      </c>
      <c r="B126" s="12">
        <v>1236</v>
      </c>
      <c r="C126" s="13" t="s">
        <v>27</v>
      </c>
      <c r="D126" s="13" t="s">
        <v>24</v>
      </c>
      <c r="E126" s="13" t="s">
        <v>25</v>
      </c>
      <c r="F126" s="13">
        <v>7</v>
      </c>
      <c r="G126" s="13">
        <v>7497</v>
      </c>
      <c r="H126" s="13">
        <v>1202.5187999999998</v>
      </c>
    </row>
    <row r="127" spans="1:8" x14ac:dyDescent="0.35">
      <c r="A127" s="11">
        <v>41401</v>
      </c>
      <c r="B127" s="12">
        <v>1237</v>
      </c>
      <c r="C127" s="13" t="s">
        <v>23</v>
      </c>
      <c r="D127" s="13" t="s">
        <v>24</v>
      </c>
      <c r="E127" s="13" t="s">
        <v>25</v>
      </c>
      <c r="F127" s="13">
        <v>7</v>
      </c>
      <c r="G127" s="13">
        <v>8190</v>
      </c>
      <c r="H127" s="13">
        <v>1560.1950000000002</v>
      </c>
    </row>
    <row r="128" spans="1:8" x14ac:dyDescent="0.35">
      <c r="A128" s="11">
        <v>41767</v>
      </c>
      <c r="B128" s="12">
        <v>1238</v>
      </c>
      <c r="C128" s="13" t="s">
        <v>26</v>
      </c>
      <c r="D128" s="13" t="s">
        <v>24</v>
      </c>
      <c r="E128" s="13" t="s">
        <v>25</v>
      </c>
      <c r="F128" s="13">
        <v>7</v>
      </c>
      <c r="G128" s="13">
        <v>6300</v>
      </c>
      <c r="H128" s="13">
        <v>830.55000000000007</v>
      </c>
    </row>
    <row r="129" spans="1:8" x14ac:dyDescent="0.35">
      <c r="A129" s="11">
        <v>41768</v>
      </c>
      <c r="B129" s="12">
        <v>1239</v>
      </c>
      <c r="C129" s="13" t="s">
        <v>27</v>
      </c>
      <c r="D129" s="13" t="s">
        <v>24</v>
      </c>
      <c r="E129" s="13" t="s">
        <v>28</v>
      </c>
      <c r="F129" s="13">
        <v>9</v>
      </c>
      <c r="G129" s="13">
        <v>2367</v>
      </c>
      <c r="H129" s="13">
        <v>1017.81</v>
      </c>
    </row>
    <row r="130" spans="1:8" x14ac:dyDescent="0.35">
      <c r="A130" s="11">
        <v>41769</v>
      </c>
      <c r="B130" s="12">
        <v>1240</v>
      </c>
      <c r="C130" s="13" t="s">
        <v>23</v>
      </c>
      <c r="D130" s="13" t="s">
        <v>24</v>
      </c>
      <c r="E130" s="13" t="s">
        <v>28</v>
      </c>
      <c r="F130" s="13">
        <v>10</v>
      </c>
      <c r="G130" s="13">
        <v>4220</v>
      </c>
      <c r="H130" s="13">
        <v>3501.5450000000001</v>
      </c>
    </row>
    <row r="131" spans="1:8" x14ac:dyDescent="0.35">
      <c r="A131" s="11">
        <v>41770</v>
      </c>
      <c r="B131" s="12">
        <v>1241</v>
      </c>
      <c r="C131" s="13" t="s">
        <v>26</v>
      </c>
      <c r="D131" s="13" t="s">
        <v>24</v>
      </c>
      <c r="E131" s="13" t="s">
        <v>28</v>
      </c>
      <c r="F131" s="13">
        <v>8</v>
      </c>
      <c r="G131" s="13">
        <v>10360</v>
      </c>
      <c r="H131" s="13">
        <v>878.52800000000002</v>
      </c>
    </row>
    <row r="132" spans="1:8" x14ac:dyDescent="0.35">
      <c r="A132" s="11">
        <v>41771</v>
      </c>
      <c r="B132" s="12">
        <v>1242</v>
      </c>
      <c r="C132" s="13" t="s">
        <v>27</v>
      </c>
      <c r="D132" s="13" t="s">
        <v>24</v>
      </c>
      <c r="E132" s="13" t="s">
        <v>29</v>
      </c>
      <c r="F132" s="13">
        <v>8</v>
      </c>
      <c r="G132" s="13">
        <v>8172</v>
      </c>
      <c r="H132" s="13">
        <v>1119.2916</v>
      </c>
    </row>
    <row r="133" spans="1:8" x14ac:dyDescent="0.35">
      <c r="A133" s="11">
        <v>41772</v>
      </c>
      <c r="B133" s="12">
        <v>1243</v>
      </c>
      <c r="C133" s="13" t="s">
        <v>23</v>
      </c>
      <c r="D133" s="13" t="s">
        <v>24</v>
      </c>
      <c r="E133" s="13" t="s">
        <v>29</v>
      </c>
      <c r="F133" s="13">
        <v>8</v>
      </c>
      <c r="G133" s="13">
        <v>6456</v>
      </c>
      <c r="H133" s="13">
        <v>1560.2</v>
      </c>
    </row>
    <row r="134" spans="1:8" x14ac:dyDescent="0.35">
      <c r="A134" s="11">
        <v>41773</v>
      </c>
      <c r="B134" s="12">
        <v>1244</v>
      </c>
      <c r="C134" s="13" t="s">
        <v>26</v>
      </c>
      <c r="D134" s="13" t="s">
        <v>24</v>
      </c>
      <c r="E134" s="13" t="s">
        <v>29</v>
      </c>
      <c r="F134" s="13">
        <v>6</v>
      </c>
      <c r="G134" s="13">
        <v>4995</v>
      </c>
      <c r="H134" s="13">
        <v>3698.7974999999997</v>
      </c>
    </row>
    <row r="135" spans="1:8" x14ac:dyDescent="0.35">
      <c r="A135" s="11">
        <v>41774</v>
      </c>
      <c r="B135" s="12">
        <v>1245</v>
      </c>
      <c r="C135" s="13" t="s">
        <v>27</v>
      </c>
      <c r="D135" s="13" t="s">
        <v>24</v>
      </c>
      <c r="E135" s="13" t="s">
        <v>25</v>
      </c>
      <c r="F135" s="13">
        <v>7</v>
      </c>
      <c r="G135" s="13">
        <v>3192</v>
      </c>
      <c r="H135" s="13">
        <v>653.40239999999994</v>
      </c>
    </row>
    <row r="136" spans="1:8" x14ac:dyDescent="0.35">
      <c r="A136" s="11">
        <v>41775</v>
      </c>
      <c r="B136" s="12">
        <v>1246</v>
      </c>
      <c r="C136" s="13" t="s">
        <v>23</v>
      </c>
      <c r="D136" s="13" t="s">
        <v>24</v>
      </c>
      <c r="E136" s="13" t="s">
        <v>25</v>
      </c>
      <c r="F136" s="13">
        <v>7</v>
      </c>
      <c r="G136" s="13">
        <v>1811.25</v>
      </c>
      <c r="H136" s="13">
        <v>1176.2257500000001</v>
      </c>
    </row>
    <row r="137" spans="1:8" x14ac:dyDescent="0.35">
      <c r="A137" s="11">
        <v>41776</v>
      </c>
      <c r="B137" s="12">
        <v>1247</v>
      </c>
      <c r="C137" s="13" t="s">
        <v>26</v>
      </c>
      <c r="D137" s="13" t="s">
        <v>24</v>
      </c>
      <c r="E137" s="13" t="s">
        <v>25</v>
      </c>
      <c r="F137" s="13">
        <v>8</v>
      </c>
      <c r="G137" s="13">
        <v>8940</v>
      </c>
      <c r="H137" s="13">
        <v>1266.2616000000003</v>
      </c>
    </row>
    <row r="138" spans="1:8" x14ac:dyDescent="0.35">
      <c r="A138" s="11">
        <v>41777</v>
      </c>
      <c r="B138" s="12">
        <v>1248</v>
      </c>
      <c r="C138" s="13" t="s">
        <v>27</v>
      </c>
      <c r="D138" s="13" t="s">
        <v>24</v>
      </c>
      <c r="E138" s="13" t="s">
        <v>28</v>
      </c>
      <c r="F138" s="13">
        <v>7</v>
      </c>
      <c r="G138" s="13">
        <v>4882.5</v>
      </c>
      <c r="H138" s="13">
        <v>593.71199999999999</v>
      </c>
    </row>
    <row r="139" spans="1:8" x14ac:dyDescent="0.35">
      <c r="A139" s="11">
        <v>41778</v>
      </c>
      <c r="B139" s="12">
        <v>1249</v>
      </c>
      <c r="C139" s="13" t="s">
        <v>23</v>
      </c>
      <c r="D139" s="13" t="s">
        <v>24</v>
      </c>
      <c r="E139" s="13" t="s">
        <v>28</v>
      </c>
      <c r="F139" s="13">
        <v>10</v>
      </c>
      <c r="G139" s="13">
        <v>8370</v>
      </c>
      <c r="H139" s="13">
        <v>1056.2939999999999</v>
      </c>
    </row>
    <row r="140" spans="1:8" x14ac:dyDescent="0.35">
      <c r="A140" s="11">
        <v>41779</v>
      </c>
      <c r="B140" s="12">
        <v>1250</v>
      </c>
      <c r="C140" s="13" t="s">
        <v>26</v>
      </c>
      <c r="D140" s="13" t="s">
        <v>24</v>
      </c>
      <c r="E140" s="13" t="s">
        <v>28</v>
      </c>
      <c r="F140" s="13">
        <v>6</v>
      </c>
      <c r="G140" s="13">
        <v>3078</v>
      </c>
      <c r="H140" s="13">
        <v>1099.4616000000001</v>
      </c>
    </row>
    <row r="141" spans="1:8" x14ac:dyDescent="0.35">
      <c r="A141" s="11">
        <v>41780</v>
      </c>
      <c r="B141" s="12">
        <v>1251</v>
      </c>
      <c r="C141" s="13" t="s">
        <v>27</v>
      </c>
      <c r="D141" s="13" t="s">
        <v>24</v>
      </c>
      <c r="E141" s="13" t="s">
        <v>29</v>
      </c>
      <c r="F141" s="13">
        <v>8</v>
      </c>
      <c r="G141" s="13">
        <v>2256</v>
      </c>
      <c r="H141" s="13">
        <v>2038.5216</v>
      </c>
    </row>
    <row r="142" spans="1:8" x14ac:dyDescent="0.35">
      <c r="A142" s="11">
        <v>41781</v>
      </c>
      <c r="B142" s="12">
        <v>1252</v>
      </c>
      <c r="C142" s="13" t="s">
        <v>23</v>
      </c>
      <c r="D142" s="13" t="s">
        <v>24</v>
      </c>
      <c r="E142" s="13" t="s">
        <v>29</v>
      </c>
      <c r="F142" s="13">
        <v>10</v>
      </c>
      <c r="G142" s="13">
        <v>2385</v>
      </c>
      <c r="H142" s="13">
        <v>3506.9039999999995</v>
      </c>
    </row>
    <row r="143" spans="1:8" x14ac:dyDescent="0.35">
      <c r="A143" s="11">
        <v>41782</v>
      </c>
      <c r="B143" s="12">
        <v>1253</v>
      </c>
      <c r="C143" s="13" t="s">
        <v>26</v>
      </c>
      <c r="D143" s="13" t="s">
        <v>24</v>
      </c>
      <c r="E143" s="13" t="s">
        <v>29</v>
      </c>
      <c r="F143" s="13">
        <v>6</v>
      </c>
      <c r="G143" s="13">
        <v>13410</v>
      </c>
      <c r="H143" s="13">
        <v>1887.5915999999997</v>
      </c>
    </row>
    <row r="144" spans="1:8" x14ac:dyDescent="0.35">
      <c r="A144" s="11">
        <v>41783</v>
      </c>
      <c r="B144" s="12">
        <v>1254</v>
      </c>
      <c r="C144" s="13" t="s">
        <v>27</v>
      </c>
      <c r="D144" s="13" t="s">
        <v>24</v>
      </c>
      <c r="E144" s="13" t="s">
        <v>25</v>
      </c>
      <c r="F144" s="13">
        <v>10</v>
      </c>
      <c r="G144" s="13">
        <v>10000</v>
      </c>
      <c r="H144" s="13">
        <v>1642.0000000000002</v>
      </c>
    </row>
    <row r="145" spans="1:8" x14ac:dyDescent="0.35">
      <c r="A145" s="11">
        <v>41784</v>
      </c>
      <c r="B145" s="12">
        <v>1255</v>
      </c>
      <c r="C145" s="13" t="s">
        <v>23</v>
      </c>
      <c r="D145" s="13" t="s">
        <v>24</v>
      </c>
      <c r="E145" s="13" t="s">
        <v>25</v>
      </c>
      <c r="F145" s="13">
        <v>7</v>
      </c>
      <c r="G145" s="13">
        <v>6363</v>
      </c>
      <c r="H145" s="13">
        <v>663.02459999999996</v>
      </c>
    </row>
    <row r="146" spans="1:8" x14ac:dyDescent="0.35">
      <c r="A146" s="11">
        <v>41785</v>
      </c>
      <c r="B146" s="12">
        <v>1256</v>
      </c>
      <c r="C146" s="13" t="s">
        <v>26</v>
      </c>
      <c r="D146" s="13" t="s">
        <v>24</v>
      </c>
      <c r="E146" s="13" t="s">
        <v>25</v>
      </c>
      <c r="F146" s="13">
        <v>8</v>
      </c>
      <c r="G146" s="13">
        <v>2712</v>
      </c>
      <c r="H146" s="13">
        <v>1825.1760000000002</v>
      </c>
    </row>
    <row r="147" spans="1:8" x14ac:dyDescent="0.35">
      <c r="A147" s="11">
        <v>41786</v>
      </c>
      <c r="B147" s="12">
        <v>1257</v>
      </c>
      <c r="C147" s="13" t="s">
        <v>27</v>
      </c>
      <c r="D147" s="13" t="s">
        <v>24</v>
      </c>
      <c r="E147" s="13" t="s">
        <v>28</v>
      </c>
      <c r="F147" s="13">
        <v>9</v>
      </c>
      <c r="G147" s="13">
        <v>4644</v>
      </c>
      <c r="H147" s="13">
        <v>912.08159999999998</v>
      </c>
    </row>
    <row r="148" spans="1:8" x14ac:dyDescent="0.35">
      <c r="A148" s="11">
        <v>41787</v>
      </c>
      <c r="B148" s="12">
        <v>1258</v>
      </c>
      <c r="C148" s="13" t="s">
        <v>23</v>
      </c>
      <c r="D148" s="13" t="s">
        <v>24</v>
      </c>
      <c r="E148" s="13" t="s">
        <v>28</v>
      </c>
      <c r="F148" s="13">
        <v>9</v>
      </c>
      <c r="G148" s="13">
        <v>1795.5</v>
      </c>
      <c r="H148" s="13">
        <v>677.44215000000008</v>
      </c>
    </row>
    <row r="149" spans="1:8" x14ac:dyDescent="0.35">
      <c r="A149" s="11">
        <v>41788</v>
      </c>
      <c r="B149" s="12">
        <v>1259</v>
      </c>
      <c r="C149" s="13" t="s">
        <v>26</v>
      </c>
      <c r="D149" s="13" t="s">
        <v>24</v>
      </c>
      <c r="E149" s="13" t="s">
        <v>28</v>
      </c>
      <c r="F149" s="13">
        <v>9</v>
      </c>
      <c r="G149" s="13">
        <v>6318</v>
      </c>
      <c r="H149" s="13">
        <v>1817.4780000000001</v>
      </c>
    </row>
    <row r="150" spans="1:8" x14ac:dyDescent="0.35">
      <c r="A150" s="11">
        <v>41789</v>
      </c>
      <c r="B150" s="12">
        <v>1260</v>
      </c>
      <c r="C150" s="13" t="s">
        <v>27</v>
      </c>
      <c r="D150" s="13" t="s">
        <v>24</v>
      </c>
      <c r="E150" s="13" t="s">
        <v>29</v>
      </c>
      <c r="F150" s="13">
        <v>10</v>
      </c>
      <c r="G150" s="13">
        <v>13050</v>
      </c>
      <c r="H150" s="13">
        <v>2962.0889999999999</v>
      </c>
    </row>
    <row r="151" spans="1:8" x14ac:dyDescent="0.35">
      <c r="A151" s="11">
        <v>41790</v>
      </c>
      <c r="B151" s="12">
        <v>1261</v>
      </c>
      <c r="C151" s="13" t="s">
        <v>23</v>
      </c>
      <c r="D151" s="13" t="s">
        <v>24</v>
      </c>
      <c r="E151" s="13" t="s">
        <v>29</v>
      </c>
      <c r="F151" s="13">
        <v>7</v>
      </c>
      <c r="G151" s="13">
        <v>3717</v>
      </c>
      <c r="H151" s="13">
        <v>1329.1992</v>
      </c>
    </row>
    <row r="152" spans="1:8" x14ac:dyDescent="0.35">
      <c r="A152" s="11">
        <v>41791</v>
      </c>
      <c r="B152" s="12">
        <v>1262</v>
      </c>
      <c r="C152" s="13" t="s">
        <v>26</v>
      </c>
      <c r="D152" s="13" t="s">
        <v>24</v>
      </c>
      <c r="E152" s="13" t="s">
        <v>29</v>
      </c>
      <c r="F152" s="13">
        <v>9</v>
      </c>
      <c r="G152" s="13">
        <v>7722</v>
      </c>
      <c r="H152" s="13">
        <v>1851.2207999999998</v>
      </c>
    </row>
    <row r="153" spans="1:8" x14ac:dyDescent="0.35">
      <c r="A153" s="11">
        <v>41792</v>
      </c>
      <c r="B153" s="12">
        <v>1263</v>
      </c>
      <c r="C153" s="13" t="s">
        <v>27</v>
      </c>
      <c r="D153" s="13" t="s">
        <v>24</v>
      </c>
      <c r="E153" s="13" t="s">
        <v>25</v>
      </c>
      <c r="F153" s="13">
        <v>10</v>
      </c>
      <c r="G153" s="13">
        <v>9000</v>
      </c>
      <c r="H153" s="13">
        <v>3937.5</v>
      </c>
    </row>
    <row r="154" spans="1:8" x14ac:dyDescent="0.35">
      <c r="A154" s="11">
        <v>41793</v>
      </c>
      <c r="B154" s="12">
        <v>1264</v>
      </c>
      <c r="C154" s="13" t="s">
        <v>23</v>
      </c>
      <c r="D154" s="13" t="s">
        <v>24</v>
      </c>
      <c r="E154" s="13" t="s">
        <v>25</v>
      </c>
      <c r="F154" s="13">
        <v>8</v>
      </c>
      <c r="G154" s="13">
        <v>14580</v>
      </c>
      <c r="H154" s="13">
        <v>2174.7528000000002</v>
      </c>
    </row>
    <row r="155" spans="1:8" x14ac:dyDescent="0.35">
      <c r="A155" s="11">
        <v>41794</v>
      </c>
      <c r="B155" s="12">
        <v>1265</v>
      </c>
      <c r="C155" s="13" t="s">
        <v>26</v>
      </c>
      <c r="D155" s="13" t="s">
        <v>24</v>
      </c>
      <c r="E155" s="13" t="s">
        <v>25</v>
      </c>
      <c r="F155" s="13">
        <v>10</v>
      </c>
      <c r="G155" s="13">
        <v>5520</v>
      </c>
      <c r="H155" s="13">
        <v>864.4319999999999</v>
      </c>
    </row>
    <row r="156" spans="1:8" x14ac:dyDescent="0.35">
      <c r="A156" s="11">
        <v>41795</v>
      </c>
      <c r="B156" s="12">
        <v>1266</v>
      </c>
      <c r="C156" s="13" t="s">
        <v>27</v>
      </c>
      <c r="D156" s="13" t="s">
        <v>24</v>
      </c>
      <c r="E156" s="13" t="s">
        <v>28</v>
      </c>
      <c r="F156" s="13">
        <v>9</v>
      </c>
      <c r="G156" s="13">
        <v>13050</v>
      </c>
      <c r="H156" s="13">
        <v>2286.36</v>
      </c>
    </row>
    <row r="157" spans="1:8" x14ac:dyDescent="0.35">
      <c r="A157" s="11">
        <v>41796</v>
      </c>
      <c r="B157" s="12">
        <v>1267</v>
      </c>
      <c r="C157" s="13" t="s">
        <v>23</v>
      </c>
      <c r="D157" s="13" t="s">
        <v>24</v>
      </c>
      <c r="E157" s="13" t="s">
        <v>28</v>
      </c>
      <c r="F157" s="13">
        <v>10</v>
      </c>
      <c r="G157" s="13">
        <v>6750</v>
      </c>
      <c r="H157" s="13">
        <v>2286.8999999999996</v>
      </c>
    </row>
    <row r="158" spans="1:8" x14ac:dyDescent="0.35">
      <c r="A158" s="11">
        <v>41797</v>
      </c>
      <c r="B158" s="12">
        <v>1268</v>
      </c>
      <c r="C158" s="13" t="s">
        <v>26</v>
      </c>
      <c r="D158" s="13" t="s">
        <v>24</v>
      </c>
      <c r="E158" s="13" t="s">
        <v>28</v>
      </c>
      <c r="F158" s="13">
        <v>6</v>
      </c>
      <c r="G158" s="13">
        <v>5562</v>
      </c>
      <c r="H158" s="13">
        <v>2666.9790000000003</v>
      </c>
    </row>
    <row r="159" spans="1:8" x14ac:dyDescent="0.35">
      <c r="A159" s="11">
        <v>41798</v>
      </c>
      <c r="B159" s="12">
        <v>1269</v>
      </c>
      <c r="C159" s="13" t="s">
        <v>27</v>
      </c>
      <c r="D159" s="13" t="s">
        <v>24</v>
      </c>
      <c r="E159" s="13" t="s">
        <v>29</v>
      </c>
      <c r="F159" s="13">
        <v>7</v>
      </c>
      <c r="G159" s="13">
        <v>3129</v>
      </c>
      <c r="H159" s="13">
        <v>1555.4258999999997</v>
      </c>
    </row>
    <row r="160" spans="1:8" x14ac:dyDescent="0.35">
      <c r="A160" s="11">
        <v>41799</v>
      </c>
      <c r="B160" s="12">
        <v>1270</v>
      </c>
      <c r="C160" s="13" t="s">
        <v>23</v>
      </c>
      <c r="D160" s="13" t="s">
        <v>24</v>
      </c>
      <c r="E160" s="13" t="s">
        <v>29</v>
      </c>
      <c r="F160" s="13">
        <v>8</v>
      </c>
      <c r="G160" s="13">
        <v>5688</v>
      </c>
      <c r="H160" s="13">
        <v>5102.1360000000004</v>
      </c>
    </row>
    <row r="161" spans="1:8" x14ac:dyDescent="0.35">
      <c r="A161" s="11">
        <v>41800</v>
      </c>
      <c r="B161" s="12">
        <v>1271</v>
      </c>
      <c r="C161" s="13" t="s">
        <v>26</v>
      </c>
      <c r="D161" s="13" t="s">
        <v>24</v>
      </c>
      <c r="E161" s="13" t="s">
        <v>29</v>
      </c>
      <c r="F161" s="13">
        <v>10</v>
      </c>
      <c r="G161" s="13">
        <v>1545</v>
      </c>
      <c r="H161" s="13">
        <v>532.09799999999996</v>
      </c>
    </row>
    <row r="162" spans="1:8" x14ac:dyDescent="0.35">
      <c r="A162" s="11">
        <v>41801</v>
      </c>
      <c r="B162" s="12">
        <v>1272</v>
      </c>
      <c r="C162" s="13" t="s">
        <v>27</v>
      </c>
      <c r="D162" s="13" t="s">
        <v>24</v>
      </c>
      <c r="E162" s="13" t="s">
        <v>25</v>
      </c>
      <c r="F162" s="13">
        <v>7</v>
      </c>
      <c r="G162" s="13">
        <v>8599.5</v>
      </c>
      <c r="H162" s="13">
        <v>5433.45075</v>
      </c>
    </row>
    <row r="163" spans="1:8" x14ac:dyDescent="0.35">
      <c r="A163" s="11">
        <v>41802</v>
      </c>
      <c r="B163" s="12">
        <v>1273</v>
      </c>
      <c r="C163" s="13" t="s">
        <v>23</v>
      </c>
      <c r="D163" s="13" t="s">
        <v>24</v>
      </c>
      <c r="E163" s="13" t="s">
        <v>25</v>
      </c>
      <c r="F163" s="13">
        <v>9</v>
      </c>
      <c r="G163" s="13">
        <v>5094</v>
      </c>
      <c r="H163" s="13">
        <v>3623.8715999999999</v>
      </c>
    </row>
    <row r="164" spans="1:8" x14ac:dyDescent="0.35">
      <c r="A164" s="11">
        <v>41803</v>
      </c>
      <c r="B164" s="12">
        <v>1274</v>
      </c>
      <c r="C164" s="13" t="s">
        <v>26</v>
      </c>
      <c r="D164" s="13" t="s">
        <v>24</v>
      </c>
      <c r="E164" s="13" t="s">
        <v>25</v>
      </c>
      <c r="F164" s="13">
        <v>6</v>
      </c>
      <c r="G164" s="13">
        <v>8775</v>
      </c>
      <c r="H164" s="13">
        <v>1370.6550000000002</v>
      </c>
    </row>
    <row r="165" spans="1:8" x14ac:dyDescent="0.35">
      <c r="A165" s="11">
        <v>41804</v>
      </c>
      <c r="B165" s="12">
        <v>1275</v>
      </c>
      <c r="C165" s="13" t="s">
        <v>27</v>
      </c>
      <c r="D165" s="13" t="s">
        <v>24</v>
      </c>
      <c r="E165" s="13" t="s">
        <v>28</v>
      </c>
      <c r="F165" s="13">
        <v>9</v>
      </c>
      <c r="G165" s="13">
        <v>7830</v>
      </c>
      <c r="H165" s="13">
        <v>1201.1220000000001</v>
      </c>
    </row>
    <row r="166" spans="1:8" x14ac:dyDescent="0.35">
      <c r="A166" s="11">
        <v>41805</v>
      </c>
      <c r="B166" s="12">
        <v>1276</v>
      </c>
      <c r="C166" s="13" t="s">
        <v>23</v>
      </c>
      <c r="D166" s="13" t="s">
        <v>24</v>
      </c>
      <c r="E166" s="13" t="s">
        <v>28</v>
      </c>
      <c r="F166" s="13">
        <v>7</v>
      </c>
      <c r="G166" s="13">
        <v>10920</v>
      </c>
      <c r="H166" s="13">
        <v>4396.3919999999998</v>
      </c>
    </row>
    <row r="167" spans="1:8" x14ac:dyDescent="0.35">
      <c r="A167" s="11">
        <v>41806</v>
      </c>
      <c r="B167" s="12">
        <v>1277</v>
      </c>
      <c r="C167" s="13" t="s">
        <v>26</v>
      </c>
      <c r="D167" s="13" t="s">
        <v>24</v>
      </c>
      <c r="E167" s="13" t="s">
        <v>28</v>
      </c>
      <c r="F167" s="13">
        <v>8</v>
      </c>
      <c r="G167" s="13">
        <v>14280</v>
      </c>
      <c r="H167" s="13">
        <v>4829.4960000000001</v>
      </c>
    </row>
    <row r="168" spans="1:8" x14ac:dyDescent="0.35">
      <c r="A168" s="11">
        <v>41807</v>
      </c>
      <c r="B168" s="12">
        <v>1278</v>
      </c>
      <c r="C168" s="13" t="s">
        <v>27</v>
      </c>
      <c r="D168" s="13" t="s">
        <v>24</v>
      </c>
      <c r="E168" s="13" t="s">
        <v>29</v>
      </c>
      <c r="F168" s="13">
        <v>9</v>
      </c>
      <c r="G168" s="13">
        <v>6804</v>
      </c>
      <c r="H168" s="13">
        <v>1510.0344</v>
      </c>
    </row>
    <row r="169" spans="1:8" x14ac:dyDescent="0.35">
      <c r="A169" s="11">
        <v>41808</v>
      </c>
      <c r="B169" s="12">
        <v>1279</v>
      </c>
      <c r="C169" s="13" t="s">
        <v>23</v>
      </c>
      <c r="D169" s="13" t="s">
        <v>24</v>
      </c>
      <c r="E169" s="13" t="s">
        <v>29</v>
      </c>
      <c r="F169" s="13">
        <v>10</v>
      </c>
      <c r="G169" s="13">
        <v>4920</v>
      </c>
      <c r="H169" s="13">
        <v>1835.652</v>
      </c>
    </row>
    <row r="170" spans="1:8" x14ac:dyDescent="0.35">
      <c r="A170" s="11">
        <v>41809</v>
      </c>
      <c r="B170" s="12">
        <v>1280</v>
      </c>
      <c r="C170" s="13" t="s">
        <v>26</v>
      </c>
      <c r="D170" s="13" t="s">
        <v>24</v>
      </c>
      <c r="E170" s="13" t="s">
        <v>29</v>
      </c>
      <c r="F170" s="13">
        <v>7</v>
      </c>
      <c r="G170" s="13">
        <v>1716.75</v>
      </c>
      <c r="H170" s="13">
        <v>2249.6292000000003</v>
      </c>
    </row>
    <row r="171" spans="1:8" x14ac:dyDescent="0.35">
      <c r="A171" s="11">
        <v>41810</v>
      </c>
      <c r="B171" s="12">
        <v>1281</v>
      </c>
      <c r="C171" s="13" t="s">
        <v>27</v>
      </c>
      <c r="D171" s="13" t="s">
        <v>24</v>
      </c>
      <c r="E171" s="13" t="s">
        <v>25</v>
      </c>
      <c r="F171" s="13">
        <v>10</v>
      </c>
      <c r="G171" s="13">
        <v>1680</v>
      </c>
      <c r="H171" s="13">
        <v>1224.048</v>
      </c>
    </row>
    <row r="172" spans="1:8" x14ac:dyDescent="0.35">
      <c r="A172" s="11">
        <v>41811</v>
      </c>
      <c r="B172" s="12">
        <v>1282</v>
      </c>
      <c r="C172" s="13" t="s">
        <v>23</v>
      </c>
      <c r="D172" s="13" t="s">
        <v>24</v>
      </c>
      <c r="E172" s="13" t="s">
        <v>25</v>
      </c>
      <c r="F172" s="13">
        <v>6</v>
      </c>
      <c r="G172" s="13">
        <v>3168</v>
      </c>
      <c r="H172" s="13">
        <v>2715.768</v>
      </c>
    </row>
    <row r="173" spans="1:8" x14ac:dyDescent="0.35">
      <c r="A173" s="11">
        <v>41812</v>
      </c>
      <c r="B173" s="12">
        <v>1283</v>
      </c>
      <c r="C173" s="13" t="s">
        <v>26</v>
      </c>
      <c r="D173" s="13" t="s">
        <v>24</v>
      </c>
      <c r="E173" s="13" t="s">
        <v>25</v>
      </c>
      <c r="F173" s="13">
        <v>9</v>
      </c>
      <c r="G173" s="13">
        <v>5913</v>
      </c>
      <c r="H173" s="13">
        <v>2707.3656000000001</v>
      </c>
    </row>
    <row r="174" spans="1:8" x14ac:dyDescent="0.35">
      <c r="A174" s="11">
        <v>41813</v>
      </c>
      <c r="B174" s="12">
        <v>1284</v>
      </c>
      <c r="C174" s="13" t="s">
        <v>27</v>
      </c>
      <c r="D174" s="13" t="s">
        <v>24</v>
      </c>
      <c r="E174" s="13" t="s">
        <v>28</v>
      </c>
      <c r="F174" s="13">
        <v>10</v>
      </c>
      <c r="G174" s="13">
        <v>2410</v>
      </c>
      <c r="H174" s="13">
        <v>2333.8440000000001</v>
      </c>
    </row>
    <row r="175" spans="1:8" x14ac:dyDescent="0.35">
      <c r="A175" s="11">
        <v>41814</v>
      </c>
      <c r="B175" s="12">
        <v>1285</v>
      </c>
      <c r="C175" s="13" t="s">
        <v>23</v>
      </c>
      <c r="D175" s="13" t="s">
        <v>24</v>
      </c>
      <c r="E175" s="13" t="s">
        <v>28</v>
      </c>
      <c r="F175" s="13">
        <v>10</v>
      </c>
      <c r="G175" s="13">
        <v>11640</v>
      </c>
      <c r="H175" s="13">
        <v>3691.0439999999999</v>
      </c>
    </row>
    <row r="176" spans="1:8" x14ac:dyDescent="0.35">
      <c r="A176" s="11">
        <v>41815</v>
      </c>
      <c r="B176" s="12">
        <v>1286</v>
      </c>
      <c r="C176" s="13" t="s">
        <v>26</v>
      </c>
      <c r="D176" s="13" t="s">
        <v>24</v>
      </c>
      <c r="E176" s="13" t="s">
        <v>28</v>
      </c>
      <c r="F176" s="13">
        <v>9</v>
      </c>
      <c r="G176" s="13">
        <v>2268</v>
      </c>
      <c r="H176" s="13">
        <v>1944.5832</v>
      </c>
    </row>
    <row r="177" spans="1:8" x14ac:dyDescent="0.35">
      <c r="A177" s="11">
        <v>41816</v>
      </c>
      <c r="B177" s="12">
        <v>1287</v>
      </c>
      <c r="C177" s="13" t="s">
        <v>27</v>
      </c>
      <c r="D177" s="13" t="s">
        <v>24</v>
      </c>
      <c r="E177" s="13" t="s">
        <v>29</v>
      </c>
      <c r="F177" s="13">
        <v>7</v>
      </c>
      <c r="G177" s="13">
        <v>10158.75</v>
      </c>
      <c r="H177" s="13">
        <v>729.60142499999995</v>
      </c>
    </row>
    <row r="178" spans="1:8" x14ac:dyDescent="0.35">
      <c r="A178" s="11">
        <v>41817</v>
      </c>
      <c r="B178" s="12">
        <v>1288</v>
      </c>
      <c r="C178" s="13" t="s">
        <v>23</v>
      </c>
      <c r="D178" s="13" t="s">
        <v>24</v>
      </c>
      <c r="E178" s="13" t="s">
        <v>29</v>
      </c>
      <c r="F178" s="13">
        <v>6</v>
      </c>
      <c r="G178" s="13">
        <v>9576</v>
      </c>
      <c r="H178" s="13">
        <v>1473.7464</v>
      </c>
    </row>
    <row r="179" spans="1:8" x14ac:dyDescent="0.35">
      <c r="A179" s="11">
        <v>41818</v>
      </c>
      <c r="B179" s="12">
        <v>1289</v>
      </c>
      <c r="C179" s="13" t="s">
        <v>26</v>
      </c>
      <c r="D179" s="13" t="s">
        <v>24</v>
      </c>
      <c r="E179" s="13" t="s">
        <v>29</v>
      </c>
      <c r="F179" s="13">
        <v>10</v>
      </c>
      <c r="G179" s="13">
        <v>6720</v>
      </c>
      <c r="H179" s="13">
        <v>721.952</v>
      </c>
    </row>
    <row r="180" spans="1:8" x14ac:dyDescent="0.35">
      <c r="A180" s="11">
        <v>41819</v>
      </c>
      <c r="B180" s="12">
        <v>1290</v>
      </c>
      <c r="C180" s="13" t="s">
        <v>27</v>
      </c>
      <c r="D180" s="13" t="s">
        <v>24</v>
      </c>
      <c r="E180" s="13" t="s">
        <v>25</v>
      </c>
      <c r="F180" s="13">
        <v>7</v>
      </c>
      <c r="G180" s="13">
        <v>1701</v>
      </c>
      <c r="H180" s="13">
        <v>2878.7723999999998</v>
      </c>
    </row>
    <row r="181" spans="1:8" x14ac:dyDescent="0.35">
      <c r="A181" s="11">
        <v>41820</v>
      </c>
      <c r="B181" s="12">
        <v>1291</v>
      </c>
      <c r="C181" s="13" t="s">
        <v>23</v>
      </c>
      <c r="D181" s="13" t="s">
        <v>24</v>
      </c>
      <c r="E181" s="13" t="s">
        <v>25</v>
      </c>
      <c r="F181" s="13">
        <v>10</v>
      </c>
      <c r="G181" s="13">
        <v>4800</v>
      </c>
      <c r="H181" s="13">
        <v>3392.6399999999994</v>
      </c>
    </row>
    <row r="182" spans="1:8" x14ac:dyDescent="0.35">
      <c r="A182" s="11">
        <v>41821</v>
      </c>
      <c r="B182" s="12">
        <v>1292</v>
      </c>
      <c r="C182" s="13" t="s">
        <v>26</v>
      </c>
      <c r="D182" s="13" t="s">
        <v>24</v>
      </c>
      <c r="E182" s="13" t="s">
        <v>25</v>
      </c>
      <c r="F182" s="13">
        <v>9</v>
      </c>
      <c r="G182" s="13">
        <v>7938</v>
      </c>
      <c r="H182" s="13">
        <v>5806.6470000000008</v>
      </c>
    </row>
    <row r="183" spans="1:8" x14ac:dyDescent="0.35">
      <c r="A183" s="11">
        <v>41822</v>
      </c>
      <c r="B183" s="12">
        <v>1293</v>
      </c>
      <c r="C183" s="13" t="s">
        <v>27</v>
      </c>
      <c r="D183" s="13" t="s">
        <v>24</v>
      </c>
      <c r="E183" s="13" t="s">
        <v>28</v>
      </c>
      <c r="F183" s="13">
        <v>7</v>
      </c>
      <c r="G183" s="13">
        <v>11025</v>
      </c>
      <c r="H183" s="13">
        <v>3356.01</v>
      </c>
    </row>
    <row r="184" spans="1:8" x14ac:dyDescent="0.35">
      <c r="A184" s="11">
        <v>41823</v>
      </c>
      <c r="B184" s="12">
        <v>1294</v>
      </c>
      <c r="C184" s="13" t="s">
        <v>23</v>
      </c>
      <c r="D184" s="13" t="s">
        <v>24</v>
      </c>
      <c r="E184" s="13" t="s">
        <v>28</v>
      </c>
      <c r="F184" s="13">
        <v>10</v>
      </c>
      <c r="G184" s="13">
        <v>11840</v>
      </c>
      <c r="H184" s="13">
        <v>4792.8320000000003</v>
      </c>
    </row>
    <row r="185" spans="1:8" x14ac:dyDescent="0.35">
      <c r="A185" s="11">
        <v>41824</v>
      </c>
      <c r="B185" s="12">
        <v>1295</v>
      </c>
      <c r="C185" s="13" t="s">
        <v>26</v>
      </c>
      <c r="D185" s="13" t="s">
        <v>24</v>
      </c>
      <c r="E185" s="13" t="s">
        <v>28</v>
      </c>
      <c r="F185" s="13">
        <v>8</v>
      </c>
      <c r="G185" s="13">
        <v>4536</v>
      </c>
      <c r="H185" s="13">
        <v>3642.4079999999999</v>
      </c>
    </row>
    <row r="186" spans="1:8" x14ac:dyDescent="0.35">
      <c r="A186" s="11">
        <v>41825</v>
      </c>
      <c r="B186" s="12">
        <v>1296</v>
      </c>
      <c r="C186" s="13" t="s">
        <v>27</v>
      </c>
      <c r="D186" s="13" t="s">
        <v>24</v>
      </c>
      <c r="E186" s="13" t="s">
        <v>29</v>
      </c>
      <c r="F186" s="13">
        <v>10</v>
      </c>
      <c r="G186" s="13">
        <v>5040</v>
      </c>
      <c r="H186" s="13">
        <v>3469.5360000000001</v>
      </c>
    </row>
    <row r="187" spans="1:8" x14ac:dyDescent="0.35">
      <c r="A187" s="11">
        <v>41826</v>
      </c>
      <c r="B187" s="12">
        <v>1297</v>
      </c>
      <c r="C187" s="13" t="s">
        <v>23</v>
      </c>
      <c r="D187" s="13" t="s">
        <v>24</v>
      </c>
      <c r="E187" s="13" t="s">
        <v>29</v>
      </c>
      <c r="F187" s="13">
        <v>9</v>
      </c>
      <c r="G187" s="13">
        <v>6156</v>
      </c>
      <c r="H187" s="13">
        <v>1305.6876000000002</v>
      </c>
    </row>
    <row r="188" spans="1:8" x14ac:dyDescent="0.35">
      <c r="A188" s="11">
        <v>41827</v>
      </c>
      <c r="B188" s="12">
        <v>1298</v>
      </c>
      <c r="C188" s="13" t="s">
        <v>26</v>
      </c>
      <c r="D188" s="13" t="s">
        <v>24</v>
      </c>
      <c r="E188" s="13" t="s">
        <v>29</v>
      </c>
      <c r="F188" s="13">
        <v>8</v>
      </c>
      <c r="G188" s="13">
        <v>3960</v>
      </c>
      <c r="H188" s="13">
        <v>647.26200000000006</v>
      </c>
    </row>
    <row r="189" spans="1:8" x14ac:dyDescent="0.35">
      <c r="A189" s="11">
        <v>41828</v>
      </c>
      <c r="B189" s="12">
        <v>1299</v>
      </c>
      <c r="C189" s="13" t="s">
        <v>27</v>
      </c>
      <c r="D189" s="13" t="s">
        <v>24</v>
      </c>
      <c r="E189" s="13" t="s">
        <v>25</v>
      </c>
      <c r="F189" s="13">
        <v>10</v>
      </c>
      <c r="G189" s="13">
        <v>5680</v>
      </c>
      <c r="H189" s="13">
        <v>2225.9920000000002</v>
      </c>
    </row>
    <row r="190" spans="1:8" x14ac:dyDescent="0.35">
      <c r="A190" s="11">
        <v>41829</v>
      </c>
      <c r="B190" s="12">
        <v>1300</v>
      </c>
      <c r="C190" s="13" t="s">
        <v>23</v>
      </c>
      <c r="D190" s="13" t="s">
        <v>24</v>
      </c>
      <c r="E190" s="13" t="s">
        <v>25</v>
      </c>
      <c r="F190" s="13">
        <v>8</v>
      </c>
      <c r="G190" s="13">
        <v>7680</v>
      </c>
      <c r="H190" s="13">
        <v>1638.5280000000002</v>
      </c>
    </row>
    <row r="191" spans="1:8" x14ac:dyDescent="0.35">
      <c r="A191" s="11">
        <v>40909</v>
      </c>
      <c r="B191" s="12">
        <v>1301</v>
      </c>
      <c r="C191" s="13" t="s">
        <v>26</v>
      </c>
      <c r="D191" s="13" t="s">
        <v>30</v>
      </c>
      <c r="E191" s="13" t="s">
        <v>25</v>
      </c>
      <c r="F191" s="13">
        <v>7</v>
      </c>
      <c r="G191" s="13">
        <v>4998</v>
      </c>
      <c r="H191" s="13">
        <v>2362.3046999999997</v>
      </c>
    </row>
    <row r="192" spans="1:8" x14ac:dyDescent="0.35">
      <c r="A192" s="11">
        <v>40910</v>
      </c>
      <c r="B192" s="12">
        <v>1302</v>
      </c>
      <c r="C192" s="13" t="s">
        <v>27</v>
      </c>
      <c r="D192" s="13" t="s">
        <v>30</v>
      </c>
      <c r="E192" s="13" t="s">
        <v>28</v>
      </c>
      <c r="F192" s="13">
        <v>7</v>
      </c>
      <c r="G192" s="13">
        <v>2152.5</v>
      </c>
      <c r="H192" s="13">
        <v>1987.6185000000003</v>
      </c>
    </row>
    <row r="193" spans="1:8" x14ac:dyDescent="0.35">
      <c r="A193" s="11">
        <v>40911</v>
      </c>
      <c r="B193" s="12">
        <v>1303</v>
      </c>
      <c r="C193" s="13" t="s">
        <v>23</v>
      </c>
      <c r="D193" s="13" t="s">
        <v>30</v>
      </c>
      <c r="E193" s="13" t="s">
        <v>28</v>
      </c>
      <c r="F193" s="13">
        <v>6</v>
      </c>
      <c r="G193" s="13">
        <v>6358.5</v>
      </c>
      <c r="H193" s="13">
        <v>2738.6059500000001</v>
      </c>
    </row>
    <row r="194" spans="1:8" x14ac:dyDescent="0.35">
      <c r="A194" s="11">
        <v>40913</v>
      </c>
      <c r="B194" s="12">
        <v>1304</v>
      </c>
      <c r="C194" s="13" t="s">
        <v>26</v>
      </c>
      <c r="D194" s="13" t="s">
        <v>30</v>
      </c>
      <c r="E194" s="13" t="s">
        <v>28</v>
      </c>
      <c r="F194" s="13">
        <v>9</v>
      </c>
      <c r="G194" s="13">
        <v>5292</v>
      </c>
      <c r="H194" s="13">
        <v>2858.4737999999998</v>
      </c>
    </row>
    <row r="195" spans="1:8" x14ac:dyDescent="0.35">
      <c r="A195" s="11">
        <v>40914</v>
      </c>
      <c r="B195" s="12">
        <v>1305</v>
      </c>
      <c r="C195" s="13" t="s">
        <v>27</v>
      </c>
      <c r="D195" s="13" t="s">
        <v>30</v>
      </c>
      <c r="E195" s="13" t="s">
        <v>29</v>
      </c>
      <c r="F195" s="13">
        <v>10</v>
      </c>
      <c r="G195" s="13">
        <v>11000</v>
      </c>
      <c r="H195" s="13">
        <v>5031.125</v>
      </c>
    </row>
    <row r="196" spans="1:8" x14ac:dyDescent="0.35">
      <c r="A196" s="11">
        <v>40915</v>
      </c>
      <c r="B196" s="12">
        <v>1306</v>
      </c>
      <c r="C196" s="13" t="s">
        <v>23</v>
      </c>
      <c r="D196" s="13" t="s">
        <v>30</v>
      </c>
      <c r="E196" s="13" t="s">
        <v>29</v>
      </c>
      <c r="F196" s="13">
        <v>8</v>
      </c>
      <c r="G196" s="13">
        <v>11640</v>
      </c>
      <c r="H196" s="13">
        <v>2975.8824</v>
      </c>
    </row>
    <row r="197" spans="1:8" x14ac:dyDescent="0.35">
      <c r="A197" s="11">
        <v>40916</v>
      </c>
      <c r="B197" s="12">
        <v>1307</v>
      </c>
      <c r="C197" s="13" t="s">
        <v>26</v>
      </c>
      <c r="D197" s="13" t="s">
        <v>30</v>
      </c>
      <c r="E197" s="13" t="s">
        <v>29</v>
      </c>
      <c r="F197" s="13">
        <v>10</v>
      </c>
      <c r="G197" s="13">
        <v>13050</v>
      </c>
      <c r="H197" s="13">
        <v>1787.328</v>
      </c>
    </row>
    <row r="198" spans="1:8" x14ac:dyDescent="0.35">
      <c r="A198" s="11">
        <v>40917</v>
      </c>
      <c r="B198" s="12">
        <v>1308</v>
      </c>
      <c r="C198" s="13" t="s">
        <v>27</v>
      </c>
      <c r="D198" s="13" t="s">
        <v>30</v>
      </c>
      <c r="E198" s="13" t="s">
        <v>25</v>
      </c>
      <c r="F198" s="13">
        <v>7</v>
      </c>
      <c r="G198" s="13">
        <v>7812</v>
      </c>
      <c r="H198" s="13">
        <v>1340.5392000000002</v>
      </c>
    </row>
    <row r="199" spans="1:8" x14ac:dyDescent="0.35">
      <c r="A199" s="11">
        <v>40918</v>
      </c>
      <c r="B199" s="12">
        <v>1309</v>
      </c>
      <c r="C199" s="13" t="s">
        <v>23</v>
      </c>
      <c r="D199" s="13" t="s">
        <v>30</v>
      </c>
      <c r="E199" s="13" t="s">
        <v>25</v>
      </c>
      <c r="F199" s="13">
        <v>10</v>
      </c>
      <c r="G199" s="13">
        <v>14800</v>
      </c>
      <c r="H199" s="13">
        <v>5459.7199999999993</v>
      </c>
    </row>
    <row r="200" spans="1:8" x14ac:dyDescent="0.35">
      <c r="A200" s="11">
        <v>40919</v>
      </c>
      <c r="B200" s="12">
        <v>1310</v>
      </c>
      <c r="C200" s="13" t="s">
        <v>26</v>
      </c>
      <c r="D200" s="13" t="s">
        <v>30</v>
      </c>
      <c r="E200" s="13" t="s">
        <v>25</v>
      </c>
      <c r="F200" s="13">
        <v>8</v>
      </c>
      <c r="G200" s="13">
        <v>13020</v>
      </c>
      <c r="H200" s="13">
        <v>4004.9519999999998</v>
      </c>
    </row>
    <row r="201" spans="1:8" x14ac:dyDescent="0.35">
      <c r="A201" s="11">
        <v>40920</v>
      </c>
      <c r="B201" s="12">
        <v>1311</v>
      </c>
      <c r="C201" s="13" t="s">
        <v>27</v>
      </c>
      <c r="D201" s="13" t="s">
        <v>30</v>
      </c>
      <c r="E201" s="13" t="s">
        <v>28</v>
      </c>
      <c r="F201" s="13">
        <v>8</v>
      </c>
      <c r="G201" s="13">
        <v>9000</v>
      </c>
      <c r="H201" s="13">
        <v>688.86</v>
      </c>
    </row>
    <row r="202" spans="1:8" x14ac:dyDescent="0.35">
      <c r="A202" s="11">
        <v>40921</v>
      </c>
      <c r="B202" s="12">
        <v>1312</v>
      </c>
      <c r="C202" s="13" t="s">
        <v>23</v>
      </c>
      <c r="D202" s="13" t="s">
        <v>30</v>
      </c>
      <c r="E202" s="13" t="s">
        <v>28</v>
      </c>
      <c r="F202" s="13">
        <v>10</v>
      </c>
      <c r="G202" s="13">
        <v>7155</v>
      </c>
      <c r="H202" s="13">
        <v>4222.6424999999999</v>
      </c>
    </row>
    <row r="203" spans="1:8" x14ac:dyDescent="0.35">
      <c r="A203" s="11">
        <v>40922</v>
      </c>
      <c r="B203" s="12">
        <v>1313</v>
      </c>
      <c r="C203" s="13" t="s">
        <v>26</v>
      </c>
      <c r="D203" s="13" t="s">
        <v>30</v>
      </c>
      <c r="E203" s="13" t="s">
        <v>28</v>
      </c>
      <c r="F203" s="13">
        <v>9</v>
      </c>
      <c r="G203" s="13">
        <v>2227.5</v>
      </c>
      <c r="H203" s="13">
        <v>962.28</v>
      </c>
    </row>
    <row r="204" spans="1:8" x14ac:dyDescent="0.35">
      <c r="A204" s="11">
        <v>40923</v>
      </c>
      <c r="B204" s="12">
        <v>1314</v>
      </c>
      <c r="C204" s="13" t="s">
        <v>27</v>
      </c>
      <c r="D204" s="13" t="s">
        <v>30</v>
      </c>
      <c r="E204" s="13" t="s">
        <v>29</v>
      </c>
      <c r="F204" s="13">
        <v>8</v>
      </c>
      <c r="G204" s="13">
        <v>6240</v>
      </c>
      <c r="H204" s="13">
        <v>3458</v>
      </c>
    </row>
    <row r="205" spans="1:8" x14ac:dyDescent="0.35">
      <c r="A205" s="11">
        <v>40924</v>
      </c>
      <c r="B205" s="12">
        <v>1315</v>
      </c>
      <c r="C205" s="13" t="s">
        <v>23</v>
      </c>
      <c r="D205" s="13" t="s">
        <v>30</v>
      </c>
      <c r="E205" s="13" t="s">
        <v>29</v>
      </c>
      <c r="F205" s="13">
        <v>10</v>
      </c>
      <c r="G205" s="13">
        <v>10840</v>
      </c>
      <c r="H205" s="13">
        <v>3327.6089999999999</v>
      </c>
    </row>
    <row r="206" spans="1:8" x14ac:dyDescent="0.35">
      <c r="A206" s="11">
        <v>40925</v>
      </c>
      <c r="B206" s="12">
        <v>1316</v>
      </c>
      <c r="C206" s="13" t="s">
        <v>26</v>
      </c>
      <c r="D206" s="13" t="s">
        <v>30</v>
      </c>
      <c r="E206" s="13" t="s">
        <v>29</v>
      </c>
      <c r="F206" s="13">
        <v>8</v>
      </c>
      <c r="G206" s="13">
        <v>6288</v>
      </c>
      <c r="H206" s="13">
        <v>3818.9120000000003</v>
      </c>
    </row>
    <row r="207" spans="1:8" x14ac:dyDescent="0.35">
      <c r="A207" s="11">
        <v>40926</v>
      </c>
      <c r="B207" s="12">
        <v>1317</v>
      </c>
      <c r="C207" s="13" t="s">
        <v>27</v>
      </c>
      <c r="D207" s="13" t="s">
        <v>30</v>
      </c>
      <c r="E207" s="13" t="s">
        <v>25</v>
      </c>
      <c r="F207" s="13">
        <v>10</v>
      </c>
      <c r="G207" s="13">
        <v>4815</v>
      </c>
      <c r="H207" s="13">
        <v>2963.6324999999997</v>
      </c>
    </row>
    <row r="208" spans="1:8" x14ac:dyDescent="0.35">
      <c r="A208" s="11">
        <v>40927</v>
      </c>
      <c r="B208" s="12">
        <v>1318</v>
      </c>
      <c r="C208" s="13" t="s">
        <v>23</v>
      </c>
      <c r="D208" s="13" t="s">
        <v>30</v>
      </c>
      <c r="E208" s="13" t="s">
        <v>25</v>
      </c>
      <c r="F208" s="13">
        <v>9</v>
      </c>
      <c r="G208" s="13">
        <v>4014</v>
      </c>
      <c r="H208" s="13">
        <v>3576.4740000000002</v>
      </c>
    </row>
    <row r="209" spans="1:8" x14ac:dyDescent="0.35">
      <c r="A209" s="11">
        <v>40928</v>
      </c>
      <c r="B209" s="12">
        <v>1319</v>
      </c>
      <c r="C209" s="13" t="s">
        <v>26</v>
      </c>
      <c r="D209" s="13" t="s">
        <v>30</v>
      </c>
      <c r="E209" s="13" t="s">
        <v>25</v>
      </c>
      <c r="F209" s="13">
        <v>10</v>
      </c>
      <c r="G209" s="13">
        <v>8520</v>
      </c>
      <c r="H209" s="13">
        <v>1722.7439999999997</v>
      </c>
    </row>
    <row r="210" spans="1:8" x14ac:dyDescent="0.35">
      <c r="A210" s="11">
        <v>40929</v>
      </c>
      <c r="B210" s="12">
        <v>1320</v>
      </c>
      <c r="C210" s="13" t="s">
        <v>27</v>
      </c>
      <c r="D210" s="13" t="s">
        <v>30</v>
      </c>
      <c r="E210" s="13" t="s">
        <v>28</v>
      </c>
      <c r="F210" s="13">
        <v>6</v>
      </c>
      <c r="G210" s="13">
        <v>3321</v>
      </c>
      <c r="H210" s="13">
        <v>1405.7792999999999</v>
      </c>
    </row>
    <row r="211" spans="1:8" x14ac:dyDescent="0.35">
      <c r="A211" s="11">
        <v>40930</v>
      </c>
      <c r="B211" s="12">
        <v>1321</v>
      </c>
      <c r="C211" s="13" t="s">
        <v>23</v>
      </c>
      <c r="D211" s="13" t="s">
        <v>30</v>
      </c>
      <c r="E211" s="13" t="s">
        <v>28</v>
      </c>
      <c r="F211" s="13">
        <v>9</v>
      </c>
      <c r="G211" s="13">
        <v>6021</v>
      </c>
      <c r="H211" s="13">
        <v>669.33450000000005</v>
      </c>
    </row>
    <row r="212" spans="1:8" x14ac:dyDescent="0.35">
      <c r="A212" s="11">
        <v>40931</v>
      </c>
      <c r="B212" s="12">
        <v>1322</v>
      </c>
      <c r="C212" s="13" t="s">
        <v>26</v>
      </c>
      <c r="D212" s="13" t="s">
        <v>30</v>
      </c>
      <c r="E212" s="13" t="s">
        <v>28</v>
      </c>
      <c r="F212" s="13">
        <v>8</v>
      </c>
      <c r="G212" s="13">
        <v>3912</v>
      </c>
      <c r="H212" s="13">
        <v>3793.6620000000003</v>
      </c>
    </row>
    <row r="213" spans="1:8" x14ac:dyDescent="0.35">
      <c r="A213" s="11">
        <v>40932</v>
      </c>
      <c r="B213" s="12">
        <v>1323</v>
      </c>
      <c r="C213" s="13" t="s">
        <v>27</v>
      </c>
      <c r="D213" s="13" t="s">
        <v>30</v>
      </c>
      <c r="E213" s="13" t="s">
        <v>29</v>
      </c>
      <c r="F213" s="13">
        <v>8</v>
      </c>
      <c r="G213" s="13">
        <v>5640</v>
      </c>
      <c r="H213" s="13">
        <v>4190.5199999999995</v>
      </c>
    </row>
    <row r="214" spans="1:8" x14ac:dyDescent="0.35">
      <c r="A214" s="11">
        <v>40933</v>
      </c>
      <c r="B214" s="12">
        <v>1324</v>
      </c>
      <c r="C214" s="13" t="s">
        <v>23</v>
      </c>
      <c r="D214" s="13" t="s">
        <v>30</v>
      </c>
      <c r="E214" s="13" t="s">
        <v>29</v>
      </c>
      <c r="F214" s="13">
        <v>8</v>
      </c>
      <c r="G214" s="13">
        <v>2214</v>
      </c>
      <c r="H214" s="13">
        <v>3838.1904</v>
      </c>
    </row>
    <row r="215" spans="1:8" x14ac:dyDescent="0.35">
      <c r="A215" s="11">
        <v>40934</v>
      </c>
      <c r="B215" s="12">
        <v>1325</v>
      </c>
      <c r="C215" s="13" t="s">
        <v>26</v>
      </c>
      <c r="D215" s="13" t="s">
        <v>30</v>
      </c>
      <c r="E215" s="13" t="s">
        <v>29</v>
      </c>
      <c r="F215" s="13">
        <v>7</v>
      </c>
      <c r="G215" s="13">
        <v>4130</v>
      </c>
      <c r="H215" s="13">
        <v>3244.5279999999998</v>
      </c>
    </row>
    <row r="216" spans="1:8" x14ac:dyDescent="0.35">
      <c r="A216" s="11">
        <v>40935</v>
      </c>
      <c r="B216" s="12">
        <v>1326</v>
      </c>
      <c r="C216" s="13" t="s">
        <v>27</v>
      </c>
      <c r="D216" s="13" t="s">
        <v>30</v>
      </c>
      <c r="E216" s="13" t="s">
        <v>25</v>
      </c>
      <c r="F216" s="13">
        <v>10</v>
      </c>
      <c r="G216" s="13">
        <v>4995</v>
      </c>
      <c r="H216" s="13">
        <v>534.798</v>
      </c>
    </row>
    <row r="217" spans="1:8" x14ac:dyDescent="0.35">
      <c r="A217" s="11">
        <v>40936</v>
      </c>
      <c r="B217" s="12">
        <v>1327</v>
      </c>
      <c r="C217" s="13" t="s">
        <v>23</v>
      </c>
      <c r="D217" s="13" t="s">
        <v>30</v>
      </c>
      <c r="E217" s="13" t="s">
        <v>25</v>
      </c>
      <c r="F217" s="13">
        <v>9</v>
      </c>
      <c r="G217" s="13">
        <v>8343</v>
      </c>
      <c r="H217" s="13">
        <v>1025.9109000000001</v>
      </c>
    </row>
    <row r="218" spans="1:8" x14ac:dyDescent="0.35">
      <c r="A218" s="11">
        <v>40937</v>
      </c>
      <c r="B218" s="12">
        <v>1328</v>
      </c>
      <c r="C218" s="13" t="s">
        <v>26</v>
      </c>
      <c r="D218" s="13" t="s">
        <v>30</v>
      </c>
      <c r="E218" s="13" t="s">
        <v>25</v>
      </c>
      <c r="F218" s="13">
        <v>10</v>
      </c>
      <c r="G218" s="13">
        <v>5610</v>
      </c>
      <c r="H218" s="13">
        <v>6250.9425000000001</v>
      </c>
    </row>
    <row r="219" spans="1:8" x14ac:dyDescent="0.35">
      <c r="A219" s="11">
        <v>40938</v>
      </c>
      <c r="B219" s="12">
        <v>1329</v>
      </c>
      <c r="C219" s="13" t="s">
        <v>27</v>
      </c>
      <c r="D219" s="13" t="s">
        <v>30</v>
      </c>
      <c r="E219" s="13" t="s">
        <v>28</v>
      </c>
      <c r="F219" s="13">
        <v>9</v>
      </c>
      <c r="G219" s="13">
        <v>5022</v>
      </c>
      <c r="H219" s="13">
        <v>3887.0280000000002</v>
      </c>
    </row>
    <row r="220" spans="1:8" x14ac:dyDescent="0.35">
      <c r="A220" s="11">
        <v>40939</v>
      </c>
      <c r="B220" s="12">
        <v>1330</v>
      </c>
      <c r="C220" s="13" t="s">
        <v>23</v>
      </c>
      <c r="D220" s="13" t="s">
        <v>30</v>
      </c>
      <c r="E220" s="13" t="s">
        <v>28</v>
      </c>
      <c r="F220" s="13">
        <v>6</v>
      </c>
      <c r="G220" s="13">
        <v>6426</v>
      </c>
      <c r="H220" s="13">
        <v>1378.6982999999998</v>
      </c>
    </row>
    <row r="221" spans="1:8" x14ac:dyDescent="0.35">
      <c r="A221" s="11">
        <v>40940</v>
      </c>
      <c r="B221" s="12">
        <v>1331</v>
      </c>
      <c r="C221" s="13" t="s">
        <v>26</v>
      </c>
      <c r="D221" s="13" t="s">
        <v>30</v>
      </c>
      <c r="E221" s="13" t="s">
        <v>28</v>
      </c>
      <c r="F221" s="13">
        <v>9</v>
      </c>
      <c r="G221" s="13">
        <v>6682.5</v>
      </c>
      <c r="H221" s="13">
        <v>1449.6570000000002</v>
      </c>
    </row>
    <row r="222" spans="1:8" x14ac:dyDescent="0.35">
      <c r="A222" s="11">
        <v>40941</v>
      </c>
      <c r="B222" s="12">
        <v>1332</v>
      </c>
      <c r="C222" s="13" t="s">
        <v>27</v>
      </c>
      <c r="D222" s="13" t="s">
        <v>30</v>
      </c>
      <c r="E222" s="13" t="s">
        <v>29</v>
      </c>
      <c r="F222" s="13">
        <v>6</v>
      </c>
      <c r="G222" s="13">
        <v>3969</v>
      </c>
      <c r="H222" s="13">
        <v>2043.2412000000002</v>
      </c>
    </row>
    <row r="223" spans="1:8" x14ac:dyDescent="0.35">
      <c r="A223" s="11">
        <v>40942</v>
      </c>
      <c r="B223" s="12">
        <v>1333</v>
      </c>
      <c r="C223" s="13" t="s">
        <v>23</v>
      </c>
      <c r="D223" s="13" t="s">
        <v>30</v>
      </c>
      <c r="E223" s="13" t="s">
        <v>29</v>
      </c>
      <c r="F223" s="13">
        <v>7</v>
      </c>
      <c r="G223" s="13">
        <v>11760</v>
      </c>
      <c r="H223" s="13">
        <v>2367.288</v>
      </c>
    </row>
    <row r="224" spans="1:8" x14ac:dyDescent="0.35">
      <c r="A224" s="11">
        <v>40943</v>
      </c>
      <c r="B224" s="12">
        <v>1334</v>
      </c>
      <c r="C224" s="13" t="s">
        <v>26</v>
      </c>
      <c r="D224" s="13" t="s">
        <v>30</v>
      </c>
      <c r="E224" s="13" t="s">
        <v>29</v>
      </c>
      <c r="F224" s="13">
        <v>7</v>
      </c>
      <c r="G224" s="13">
        <v>2740.5</v>
      </c>
      <c r="H224" s="13">
        <v>4873.9792500000003</v>
      </c>
    </row>
    <row r="225" spans="1:8" x14ac:dyDescent="0.35">
      <c r="A225" s="11">
        <v>40944</v>
      </c>
      <c r="B225" s="12">
        <v>1335</v>
      </c>
      <c r="C225" s="13" t="s">
        <v>27</v>
      </c>
      <c r="D225" s="13" t="s">
        <v>30</v>
      </c>
      <c r="E225" s="13" t="s">
        <v>25</v>
      </c>
      <c r="F225" s="13">
        <v>9</v>
      </c>
      <c r="G225" s="13">
        <v>5292</v>
      </c>
      <c r="H225" s="13">
        <v>2046.4163999999998</v>
      </c>
    </row>
    <row r="226" spans="1:8" x14ac:dyDescent="0.35">
      <c r="A226" s="11">
        <v>40945</v>
      </c>
      <c r="B226" s="12">
        <v>1336</v>
      </c>
      <c r="C226" s="13" t="s">
        <v>23</v>
      </c>
      <c r="D226" s="13" t="s">
        <v>30</v>
      </c>
      <c r="E226" s="13" t="s">
        <v>25</v>
      </c>
      <c r="F226" s="13">
        <v>8</v>
      </c>
      <c r="G226" s="13">
        <v>6264</v>
      </c>
      <c r="H226" s="13">
        <v>628.07040000000006</v>
      </c>
    </row>
    <row r="227" spans="1:8" x14ac:dyDescent="0.35">
      <c r="A227" s="11">
        <v>40946</v>
      </c>
      <c r="B227" s="12">
        <v>1337</v>
      </c>
      <c r="C227" s="13" t="s">
        <v>26</v>
      </c>
      <c r="D227" s="13" t="s">
        <v>30</v>
      </c>
      <c r="E227" s="13" t="s">
        <v>25</v>
      </c>
      <c r="F227" s="13">
        <v>8</v>
      </c>
      <c r="G227" s="13">
        <v>9408</v>
      </c>
      <c r="H227" s="13">
        <v>4139.5200000000004</v>
      </c>
    </row>
    <row r="228" spans="1:8" x14ac:dyDescent="0.35">
      <c r="A228" s="11">
        <v>40947</v>
      </c>
      <c r="B228" s="12">
        <v>1338</v>
      </c>
      <c r="C228" s="13" t="s">
        <v>27</v>
      </c>
      <c r="D228" s="13" t="s">
        <v>30</v>
      </c>
      <c r="E228" s="13" t="s">
        <v>28</v>
      </c>
      <c r="F228" s="13">
        <v>6</v>
      </c>
      <c r="G228" s="13">
        <v>12465</v>
      </c>
      <c r="H228" s="13">
        <v>2678.9778000000001</v>
      </c>
    </row>
    <row r="229" spans="1:8" x14ac:dyDescent="0.35">
      <c r="A229" s="11">
        <v>40948</v>
      </c>
      <c r="B229" s="12">
        <v>1339</v>
      </c>
      <c r="C229" s="13" t="s">
        <v>23</v>
      </c>
      <c r="D229" s="13" t="s">
        <v>30</v>
      </c>
      <c r="E229" s="13" t="s">
        <v>28</v>
      </c>
      <c r="F229" s="13">
        <v>6</v>
      </c>
      <c r="G229" s="13">
        <v>6075</v>
      </c>
      <c r="H229" s="13">
        <v>1844.37</v>
      </c>
    </row>
    <row r="230" spans="1:8" x14ac:dyDescent="0.35">
      <c r="A230" s="11">
        <v>40949</v>
      </c>
      <c r="B230" s="12">
        <v>1340</v>
      </c>
      <c r="C230" s="13" t="s">
        <v>26</v>
      </c>
      <c r="D230" s="13" t="s">
        <v>30</v>
      </c>
      <c r="E230" s="13" t="s">
        <v>28</v>
      </c>
      <c r="F230" s="13">
        <v>7</v>
      </c>
      <c r="G230" s="13">
        <v>5922</v>
      </c>
      <c r="H230" s="13">
        <v>2894.6735999999996</v>
      </c>
    </row>
    <row r="231" spans="1:8" x14ac:dyDescent="0.35">
      <c r="A231" s="11">
        <v>40950</v>
      </c>
      <c r="B231" s="12">
        <v>1341</v>
      </c>
      <c r="C231" s="13" t="s">
        <v>27</v>
      </c>
      <c r="D231" s="13" t="s">
        <v>30</v>
      </c>
      <c r="E231" s="13" t="s">
        <v>29</v>
      </c>
      <c r="F231" s="13">
        <v>6</v>
      </c>
      <c r="G231" s="13">
        <v>8325</v>
      </c>
      <c r="H231" s="13">
        <v>614.8845</v>
      </c>
    </row>
    <row r="232" spans="1:8" x14ac:dyDescent="0.35">
      <c r="A232" s="11">
        <v>40951</v>
      </c>
      <c r="B232" s="12">
        <v>1342</v>
      </c>
      <c r="C232" s="13" t="s">
        <v>23</v>
      </c>
      <c r="D232" s="13" t="s">
        <v>30</v>
      </c>
      <c r="E232" s="13" t="s">
        <v>29</v>
      </c>
      <c r="F232" s="13">
        <v>10</v>
      </c>
      <c r="G232" s="13">
        <v>2020</v>
      </c>
      <c r="H232" s="13">
        <v>1382.8920000000001</v>
      </c>
    </row>
    <row r="233" spans="1:8" x14ac:dyDescent="0.35">
      <c r="A233" s="11">
        <v>40952</v>
      </c>
      <c r="B233" s="12">
        <v>1343</v>
      </c>
      <c r="C233" s="13" t="s">
        <v>26</v>
      </c>
      <c r="D233" s="13" t="s">
        <v>30</v>
      </c>
      <c r="E233" s="13" t="s">
        <v>29</v>
      </c>
      <c r="F233" s="13">
        <v>7</v>
      </c>
      <c r="G233" s="13">
        <v>3801</v>
      </c>
      <c r="H233" s="13">
        <v>2510.9405999999999</v>
      </c>
    </row>
    <row r="234" spans="1:8" x14ac:dyDescent="0.35">
      <c r="A234" s="11">
        <v>40953</v>
      </c>
      <c r="B234" s="12">
        <v>1344</v>
      </c>
      <c r="C234" s="13" t="s">
        <v>27</v>
      </c>
      <c r="D234" s="13" t="s">
        <v>30</v>
      </c>
      <c r="E234" s="13" t="s">
        <v>25</v>
      </c>
      <c r="F234" s="13">
        <v>8</v>
      </c>
      <c r="G234" s="13">
        <v>5568</v>
      </c>
      <c r="H234" s="13">
        <v>1955.4816000000001</v>
      </c>
    </row>
    <row r="235" spans="1:8" x14ac:dyDescent="0.35">
      <c r="A235" s="11">
        <v>40954</v>
      </c>
      <c r="B235" s="12">
        <v>1345</v>
      </c>
      <c r="C235" s="13" t="s">
        <v>23</v>
      </c>
      <c r="D235" s="13" t="s">
        <v>30</v>
      </c>
      <c r="E235" s="13" t="s">
        <v>25</v>
      </c>
      <c r="F235" s="13">
        <v>8</v>
      </c>
      <c r="G235" s="13">
        <v>5292</v>
      </c>
      <c r="H235" s="13">
        <v>3085.2359999999999</v>
      </c>
    </row>
    <row r="236" spans="1:8" x14ac:dyDescent="0.35">
      <c r="A236" s="11">
        <v>40955</v>
      </c>
      <c r="B236" s="12">
        <v>1346</v>
      </c>
      <c r="C236" s="13" t="s">
        <v>26</v>
      </c>
      <c r="D236" s="13" t="s">
        <v>30</v>
      </c>
      <c r="E236" s="13" t="s">
        <v>25</v>
      </c>
      <c r="F236" s="13">
        <v>10</v>
      </c>
      <c r="G236" s="13">
        <v>6540</v>
      </c>
      <c r="H236" s="13">
        <v>1282.1669999999999</v>
      </c>
    </row>
    <row r="237" spans="1:8" x14ac:dyDescent="0.35">
      <c r="A237" s="11">
        <v>40956</v>
      </c>
      <c r="B237" s="12">
        <v>1347</v>
      </c>
      <c r="C237" s="13" t="s">
        <v>27</v>
      </c>
      <c r="D237" s="13" t="s">
        <v>30</v>
      </c>
      <c r="E237" s="13" t="s">
        <v>28</v>
      </c>
      <c r="F237" s="13">
        <v>10</v>
      </c>
      <c r="G237" s="13">
        <v>7920</v>
      </c>
      <c r="H237" s="13">
        <v>3198.8879999999999</v>
      </c>
    </row>
    <row r="238" spans="1:8" x14ac:dyDescent="0.35">
      <c r="A238" s="11">
        <v>40957</v>
      </c>
      <c r="B238" s="12">
        <v>1348</v>
      </c>
      <c r="C238" s="13" t="s">
        <v>23</v>
      </c>
      <c r="D238" s="13" t="s">
        <v>30</v>
      </c>
      <c r="E238" s="13" t="s">
        <v>28</v>
      </c>
      <c r="F238" s="13">
        <v>10</v>
      </c>
      <c r="G238" s="13">
        <v>2280</v>
      </c>
      <c r="H238" s="13">
        <v>2978.136</v>
      </c>
    </row>
    <row r="239" spans="1:8" x14ac:dyDescent="0.35">
      <c r="A239" s="11">
        <v>40958</v>
      </c>
      <c r="B239" s="12">
        <v>1349</v>
      </c>
      <c r="C239" s="13" t="s">
        <v>26</v>
      </c>
      <c r="D239" s="13" t="s">
        <v>30</v>
      </c>
      <c r="E239" s="13" t="s">
        <v>28</v>
      </c>
      <c r="F239" s="13">
        <v>7</v>
      </c>
      <c r="G239" s="13">
        <v>8741.25</v>
      </c>
      <c r="H239" s="13">
        <v>1502.7957000000001</v>
      </c>
    </row>
    <row r="240" spans="1:8" x14ac:dyDescent="0.35">
      <c r="A240" s="11">
        <v>40959</v>
      </c>
      <c r="B240" s="12">
        <v>1350</v>
      </c>
      <c r="C240" s="13" t="s">
        <v>27</v>
      </c>
      <c r="D240" s="13" t="s">
        <v>30</v>
      </c>
      <c r="E240" s="13" t="s">
        <v>29</v>
      </c>
      <c r="F240" s="13">
        <v>6</v>
      </c>
      <c r="G240" s="13">
        <v>3168</v>
      </c>
      <c r="H240" s="13">
        <v>2526.7968000000001</v>
      </c>
    </row>
    <row r="241" spans="1:8" x14ac:dyDescent="0.35">
      <c r="A241" s="11">
        <v>40960</v>
      </c>
      <c r="B241" s="12">
        <v>1351</v>
      </c>
      <c r="C241" s="13" t="s">
        <v>23</v>
      </c>
      <c r="D241" s="13" t="s">
        <v>30</v>
      </c>
      <c r="E241" s="13" t="s">
        <v>29</v>
      </c>
      <c r="F241" s="13">
        <v>6</v>
      </c>
      <c r="G241" s="13">
        <v>11475</v>
      </c>
      <c r="H241" s="13">
        <v>4240.0125000000007</v>
      </c>
    </row>
    <row r="242" spans="1:8" x14ac:dyDescent="0.35">
      <c r="A242" s="11">
        <v>40961</v>
      </c>
      <c r="B242" s="12">
        <v>1352</v>
      </c>
      <c r="C242" s="13" t="s">
        <v>26</v>
      </c>
      <c r="D242" s="13" t="s">
        <v>30</v>
      </c>
      <c r="E242" s="13" t="s">
        <v>29</v>
      </c>
      <c r="F242" s="13">
        <v>9</v>
      </c>
      <c r="G242" s="13">
        <v>4333.5</v>
      </c>
      <c r="H242" s="13">
        <v>1783.23525</v>
      </c>
    </row>
    <row r="243" spans="1:8" x14ac:dyDescent="0.35">
      <c r="A243" s="11">
        <v>40962</v>
      </c>
      <c r="B243" s="12">
        <v>1353</v>
      </c>
      <c r="C243" s="13" t="s">
        <v>27</v>
      </c>
      <c r="D243" s="13" t="s">
        <v>30</v>
      </c>
      <c r="E243" s="13" t="s">
        <v>25</v>
      </c>
      <c r="F243" s="13">
        <v>9</v>
      </c>
      <c r="G243" s="13">
        <v>5778</v>
      </c>
      <c r="H243" s="13">
        <v>1758.8232</v>
      </c>
    </row>
    <row r="244" spans="1:8" x14ac:dyDescent="0.35">
      <c r="A244" s="11">
        <v>40963</v>
      </c>
      <c r="B244" s="12">
        <v>1354</v>
      </c>
      <c r="C244" s="13" t="s">
        <v>23</v>
      </c>
      <c r="D244" s="13" t="s">
        <v>30</v>
      </c>
      <c r="E244" s="13" t="s">
        <v>25</v>
      </c>
      <c r="F244" s="13">
        <v>9</v>
      </c>
      <c r="G244" s="13">
        <v>12285</v>
      </c>
      <c r="H244" s="13">
        <v>1560.6864</v>
      </c>
    </row>
    <row r="245" spans="1:8" x14ac:dyDescent="0.35">
      <c r="A245" s="11">
        <v>40964</v>
      </c>
      <c r="B245" s="12">
        <v>1355</v>
      </c>
      <c r="C245" s="13" t="s">
        <v>26</v>
      </c>
      <c r="D245" s="13" t="s">
        <v>30</v>
      </c>
      <c r="E245" s="13" t="s">
        <v>25</v>
      </c>
      <c r="F245" s="13">
        <v>6</v>
      </c>
      <c r="G245" s="13">
        <v>1782</v>
      </c>
      <c r="H245" s="13">
        <v>3026.7269999999999</v>
      </c>
    </row>
    <row r="246" spans="1:8" x14ac:dyDescent="0.35">
      <c r="A246" s="11">
        <v>40965</v>
      </c>
      <c r="B246" s="12">
        <v>1356</v>
      </c>
      <c r="C246" s="13" t="s">
        <v>27</v>
      </c>
      <c r="D246" s="13" t="s">
        <v>30</v>
      </c>
      <c r="E246" s="13" t="s">
        <v>28</v>
      </c>
      <c r="F246" s="13">
        <v>9</v>
      </c>
      <c r="G246" s="13">
        <v>14310</v>
      </c>
      <c r="H246" s="13">
        <v>4742.9063999999998</v>
      </c>
    </row>
    <row r="247" spans="1:8" x14ac:dyDescent="0.35">
      <c r="A247" s="11">
        <v>40966</v>
      </c>
      <c r="B247" s="12">
        <v>1357</v>
      </c>
      <c r="C247" s="13" t="s">
        <v>23</v>
      </c>
      <c r="D247" s="13" t="s">
        <v>30</v>
      </c>
      <c r="E247" s="13" t="s">
        <v>28</v>
      </c>
      <c r="F247" s="13">
        <v>6</v>
      </c>
      <c r="G247" s="13">
        <v>1962</v>
      </c>
      <c r="H247" s="13">
        <v>2316.7296000000001</v>
      </c>
    </row>
    <row r="248" spans="1:8" x14ac:dyDescent="0.35">
      <c r="A248" s="11">
        <v>40967</v>
      </c>
      <c r="B248" s="12">
        <v>1358</v>
      </c>
      <c r="C248" s="13" t="s">
        <v>26</v>
      </c>
      <c r="D248" s="13" t="s">
        <v>30</v>
      </c>
      <c r="E248" s="13" t="s">
        <v>28</v>
      </c>
      <c r="F248" s="13">
        <v>9</v>
      </c>
      <c r="G248" s="13">
        <v>12465</v>
      </c>
      <c r="H248" s="13">
        <v>4464.4643999999998</v>
      </c>
    </row>
    <row r="249" spans="1:8" x14ac:dyDescent="0.35">
      <c r="A249" s="11">
        <v>40969</v>
      </c>
      <c r="B249" s="12">
        <v>1359</v>
      </c>
      <c r="C249" s="13" t="s">
        <v>27</v>
      </c>
      <c r="D249" s="13" t="s">
        <v>30</v>
      </c>
      <c r="E249" s="13" t="s">
        <v>29</v>
      </c>
      <c r="F249" s="13">
        <v>7</v>
      </c>
      <c r="G249" s="13">
        <v>7182</v>
      </c>
      <c r="H249" s="13">
        <v>3926.1600000000003</v>
      </c>
    </row>
    <row r="250" spans="1:8" x14ac:dyDescent="0.35">
      <c r="A250" s="11">
        <v>40970</v>
      </c>
      <c r="B250" s="12">
        <v>1360</v>
      </c>
      <c r="C250" s="13" t="s">
        <v>23</v>
      </c>
      <c r="D250" s="13" t="s">
        <v>30</v>
      </c>
      <c r="E250" s="13" t="s">
        <v>29</v>
      </c>
      <c r="F250" s="13">
        <v>8</v>
      </c>
      <c r="G250" s="13">
        <v>1548</v>
      </c>
      <c r="H250" s="13">
        <v>683.75159999999994</v>
      </c>
    </row>
    <row r="251" spans="1:8" x14ac:dyDescent="0.35">
      <c r="A251" s="11">
        <v>40971</v>
      </c>
      <c r="B251" s="12">
        <v>1361</v>
      </c>
      <c r="C251" s="13" t="s">
        <v>26</v>
      </c>
      <c r="D251" s="13" t="s">
        <v>30</v>
      </c>
      <c r="E251" s="13" t="s">
        <v>29</v>
      </c>
      <c r="F251" s="13">
        <v>6</v>
      </c>
      <c r="G251" s="13">
        <v>3906</v>
      </c>
      <c r="H251" s="13">
        <v>1462.4063999999998</v>
      </c>
    </row>
    <row r="252" spans="1:8" x14ac:dyDescent="0.35">
      <c r="A252" s="11">
        <v>40972</v>
      </c>
      <c r="B252" s="12">
        <v>1362</v>
      </c>
      <c r="C252" s="13" t="s">
        <v>27</v>
      </c>
      <c r="D252" s="13" t="s">
        <v>30</v>
      </c>
      <c r="E252" s="13" t="s">
        <v>25</v>
      </c>
      <c r="F252" s="13">
        <v>7</v>
      </c>
      <c r="G252" s="13">
        <v>1753.5</v>
      </c>
      <c r="H252" s="13">
        <v>2914.317</v>
      </c>
    </row>
    <row r="253" spans="1:8" x14ac:dyDescent="0.35">
      <c r="A253" s="11">
        <v>40973</v>
      </c>
      <c r="B253" s="12">
        <v>1363</v>
      </c>
      <c r="C253" s="13" t="s">
        <v>23</v>
      </c>
      <c r="D253" s="13" t="s">
        <v>30</v>
      </c>
      <c r="E253" s="13" t="s">
        <v>25</v>
      </c>
      <c r="F253" s="13">
        <v>9</v>
      </c>
      <c r="G253" s="13">
        <v>5994</v>
      </c>
      <c r="H253" s="13">
        <v>2626.5707999999995</v>
      </c>
    </row>
    <row r="254" spans="1:8" x14ac:dyDescent="0.35">
      <c r="A254" s="11">
        <v>41339</v>
      </c>
      <c r="B254" s="12">
        <v>1364</v>
      </c>
      <c r="C254" s="13" t="s">
        <v>26</v>
      </c>
      <c r="D254" s="13" t="s">
        <v>30</v>
      </c>
      <c r="E254" s="13" t="s">
        <v>25</v>
      </c>
      <c r="F254" s="13">
        <v>9</v>
      </c>
      <c r="G254" s="13">
        <v>6480</v>
      </c>
      <c r="H254" s="13">
        <v>4390.2</v>
      </c>
    </row>
    <row r="255" spans="1:8" x14ac:dyDescent="0.35">
      <c r="A255" s="11">
        <v>41340</v>
      </c>
      <c r="B255" s="12">
        <v>1365</v>
      </c>
      <c r="C255" s="13" t="s">
        <v>27</v>
      </c>
      <c r="D255" s="13" t="s">
        <v>30</v>
      </c>
      <c r="E255" s="13" t="s">
        <v>28</v>
      </c>
      <c r="F255" s="13">
        <v>6</v>
      </c>
      <c r="G255" s="13">
        <v>3078</v>
      </c>
      <c r="H255" s="13">
        <v>2534.7330000000002</v>
      </c>
    </row>
    <row r="256" spans="1:8" x14ac:dyDescent="0.35">
      <c r="A256" s="11">
        <v>41341</v>
      </c>
      <c r="B256" s="12">
        <v>1366</v>
      </c>
      <c r="C256" s="13" t="s">
        <v>23</v>
      </c>
      <c r="D256" s="13" t="s">
        <v>30</v>
      </c>
      <c r="E256" s="13" t="s">
        <v>28</v>
      </c>
      <c r="F256" s="13">
        <v>9</v>
      </c>
      <c r="G256" s="13">
        <v>6858</v>
      </c>
      <c r="H256" s="13">
        <v>1755.1908000000001</v>
      </c>
    </row>
    <row r="257" spans="1:8" x14ac:dyDescent="0.35">
      <c r="A257" s="11">
        <v>41342</v>
      </c>
      <c r="B257" s="12">
        <v>1367</v>
      </c>
      <c r="C257" s="13" t="s">
        <v>26</v>
      </c>
      <c r="D257" s="13" t="s">
        <v>30</v>
      </c>
      <c r="E257" s="13" t="s">
        <v>28</v>
      </c>
      <c r="F257" s="13">
        <v>10</v>
      </c>
      <c r="G257" s="13">
        <v>10080</v>
      </c>
      <c r="H257" s="13">
        <v>3171.1680000000001</v>
      </c>
    </row>
    <row r="258" spans="1:8" x14ac:dyDescent="0.35">
      <c r="A258" s="11">
        <v>41343</v>
      </c>
      <c r="B258" s="12">
        <v>1368</v>
      </c>
      <c r="C258" s="13" t="s">
        <v>27</v>
      </c>
      <c r="D258" s="13" t="s">
        <v>30</v>
      </c>
      <c r="E258" s="13" t="s">
        <v>29</v>
      </c>
      <c r="F258" s="13">
        <v>10</v>
      </c>
      <c r="G258" s="13">
        <v>5520</v>
      </c>
      <c r="H258" s="13">
        <v>2378.0160000000001</v>
      </c>
    </row>
    <row r="259" spans="1:8" x14ac:dyDescent="0.35">
      <c r="A259" s="11">
        <v>41344</v>
      </c>
      <c r="B259" s="12">
        <v>1369</v>
      </c>
      <c r="C259" s="13" t="s">
        <v>23</v>
      </c>
      <c r="D259" s="13" t="s">
        <v>30</v>
      </c>
      <c r="E259" s="13" t="s">
        <v>29</v>
      </c>
      <c r="F259" s="13">
        <v>9</v>
      </c>
      <c r="G259" s="13">
        <v>11016</v>
      </c>
      <c r="H259" s="13">
        <v>892.84679999999992</v>
      </c>
    </row>
    <row r="260" spans="1:8" x14ac:dyDescent="0.35">
      <c r="A260" s="11">
        <v>41345</v>
      </c>
      <c r="B260" s="12">
        <v>1370</v>
      </c>
      <c r="C260" s="13" t="s">
        <v>26</v>
      </c>
      <c r="D260" s="13" t="s">
        <v>30</v>
      </c>
      <c r="E260" s="13" t="s">
        <v>29</v>
      </c>
      <c r="F260" s="13">
        <v>8</v>
      </c>
      <c r="G260" s="13">
        <v>2232</v>
      </c>
      <c r="H260" s="13">
        <v>969.13439999999991</v>
      </c>
    </row>
    <row r="261" spans="1:8" x14ac:dyDescent="0.35">
      <c r="A261" s="11">
        <v>41346</v>
      </c>
      <c r="B261" s="12">
        <v>1371</v>
      </c>
      <c r="C261" s="13" t="s">
        <v>27</v>
      </c>
      <c r="D261" s="13" t="s">
        <v>30</v>
      </c>
      <c r="E261" s="13" t="s">
        <v>25</v>
      </c>
      <c r="F261" s="13">
        <v>8</v>
      </c>
      <c r="G261" s="13">
        <v>6792</v>
      </c>
      <c r="H261" s="13">
        <v>907.1848</v>
      </c>
    </row>
    <row r="262" spans="1:8" x14ac:dyDescent="0.35">
      <c r="A262" s="11">
        <v>41347</v>
      </c>
      <c r="B262" s="12">
        <v>1372</v>
      </c>
      <c r="C262" s="13" t="s">
        <v>23</v>
      </c>
      <c r="D262" s="13" t="s">
        <v>30</v>
      </c>
      <c r="E262" s="13" t="s">
        <v>25</v>
      </c>
      <c r="F262" s="13">
        <v>6</v>
      </c>
      <c r="G262" s="13">
        <v>8707.5</v>
      </c>
      <c r="H262" s="13">
        <v>1918.95885</v>
      </c>
    </row>
    <row r="263" spans="1:8" x14ac:dyDescent="0.35">
      <c r="A263" s="11">
        <v>41348</v>
      </c>
      <c r="B263" s="12">
        <v>1373</v>
      </c>
      <c r="C263" s="13" t="s">
        <v>26</v>
      </c>
      <c r="D263" s="13" t="s">
        <v>30</v>
      </c>
      <c r="E263" s="13" t="s">
        <v>25</v>
      </c>
      <c r="F263" s="13">
        <v>7</v>
      </c>
      <c r="G263" s="13">
        <v>5796</v>
      </c>
      <c r="H263" s="13">
        <v>3440.5056</v>
      </c>
    </row>
    <row r="264" spans="1:8" x14ac:dyDescent="0.35">
      <c r="A264" s="11">
        <v>41349</v>
      </c>
      <c r="B264" s="12">
        <v>1374</v>
      </c>
      <c r="C264" s="13" t="s">
        <v>27</v>
      </c>
      <c r="D264" s="13" t="s">
        <v>30</v>
      </c>
      <c r="E264" s="13" t="s">
        <v>28</v>
      </c>
      <c r="F264" s="13">
        <v>10</v>
      </c>
      <c r="G264" s="13">
        <v>9000</v>
      </c>
      <c r="H264" s="13">
        <v>2616.2999999999997</v>
      </c>
    </row>
    <row r="265" spans="1:8" x14ac:dyDescent="0.35">
      <c r="A265" s="11">
        <v>41350</v>
      </c>
      <c r="B265" s="12">
        <v>1375</v>
      </c>
      <c r="C265" s="13" t="s">
        <v>23</v>
      </c>
      <c r="D265" s="13" t="s">
        <v>30</v>
      </c>
      <c r="E265" s="13" t="s">
        <v>28</v>
      </c>
      <c r="F265" s="13">
        <v>6</v>
      </c>
      <c r="G265" s="13">
        <v>10192.5</v>
      </c>
      <c r="H265" s="13">
        <v>1763.7101999999998</v>
      </c>
    </row>
    <row r="266" spans="1:8" x14ac:dyDescent="0.35">
      <c r="A266" s="11">
        <v>41351</v>
      </c>
      <c r="B266" s="12">
        <v>1376</v>
      </c>
      <c r="C266" s="13" t="s">
        <v>26</v>
      </c>
      <c r="D266" s="13" t="s">
        <v>30</v>
      </c>
      <c r="E266" s="13" t="s">
        <v>28</v>
      </c>
      <c r="F266" s="13">
        <v>6</v>
      </c>
      <c r="G266" s="13">
        <v>7074</v>
      </c>
      <c r="H266" s="13">
        <v>594.03915000000006</v>
      </c>
    </row>
    <row r="267" spans="1:8" x14ac:dyDescent="0.35">
      <c r="A267" s="11">
        <v>41352</v>
      </c>
      <c r="B267" s="12">
        <v>1377</v>
      </c>
      <c r="C267" s="13" t="s">
        <v>27</v>
      </c>
      <c r="D267" s="13" t="s">
        <v>30</v>
      </c>
      <c r="E267" s="13" t="s">
        <v>29</v>
      </c>
      <c r="F267" s="13">
        <v>10</v>
      </c>
      <c r="G267" s="13">
        <v>2260</v>
      </c>
      <c r="H267" s="13">
        <v>3598.8240000000001</v>
      </c>
    </row>
    <row r="268" spans="1:8" x14ac:dyDescent="0.35">
      <c r="A268" s="11">
        <v>41353</v>
      </c>
      <c r="B268" s="12">
        <v>1378</v>
      </c>
      <c r="C268" s="13" t="s">
        <v>23</v>
      </c>
      <c r="D268" s="13" t="s">
        <v>30</v>
      </c>
      <c r="E268" s="13" t="s">
        <v>29</v>
      </c>
      <c r="F268" s="13">
        <v>7</v>
      </c>
      <c r="G268" s="13">
        <v>8568</v>
      </c>
      <c r="H268" s="13">
        <v>980.17920000000004</v>
      </c>
    </row>
    <row r="269" spans="1:8" x14ac:dyDescent="0.35">
      <c r="A269" s="11">
        <v>41354</v>
      </c>
      <c r="B269" s="12">
        <v>1379</v>
      </c>
      <c r="C269" s="13" t="s">
        <v>26</v>
      </c>
      <c r="D269" s="13" t="s">
        <v>30</v>
      </c>
      <c r="E269" s="13" t="s">
        <v>29</v>
      </c>
      <c r="F269" s="13">
        <v>8</v>
      </c>
      <c r="G269" s="13">
        <v>8856</v>
      </c>
      <c r="H269" s="13">
        <v>5951.232</v>
      </c>
    </row>
    <row r="270" spans="1:8" x14ac:dyDescent="0.35">
      <c r="A270" s="11">
        <v>41355</v>
      </c>
      <c r="B270" s="12">
        <v>1380</v>
      </c>
      <c r="C270" s="13" t="s">
        <v>27</v>
      </c>
      <c r="D270" s="13" t="s">
        <v>30</v>
      </c>
      <c r="E270" s="13" t="s">
        <v>25</v>
      </c>
      <c r="F270" s="13">
        <v>6</v>
      </c>
      <c r="G270" s="13">
        <v>1692</v>
      </c>
      <c r="H270" s="13">
        <v>2789.7696000000001</v>
      </c>
    </row>
    <row r="271" spans="1:8" x14ac:dyDescent="0.35">
      <c r="A271" s="11">
        <v>41356</v>
      </c>
      <c r="B271" s="12">
        <v>1381</v>
      </c>
      <c r="C271" s="13" t="s">
        <v>23</v>
      </c>
      <c r="D271" s="13" t="s">
        <v>30</v>
      </c>
      <c r="E271" s="13" t="s">
        <v>25</v>
      </c>
      <c r="F271" s="13">
        <v>6</v>
      </c>
      <c r="G271" s="13">
        <v>5022</v>
      </c>
      <c r="H271" s="13">
        <v>3700.3769999999995</v>
      </c>
    </row>
    <row r="272" spans="1:8" x14ac:dyDescent="0.35">
      <c r="A272" s="11">
        <v>41357</v>
      </c>
      <c r="B272" s="12">
        <v>1382</v>
      </c>
      <c r="C272" s="13" t="s">
        <v>26</v>
      </c>
      <c r="D272" s="13" t="s">
        <v>30</v>
      </c>
      <c r="E272" s="13" t="s">
        <v>25</v>
      </c>
      <c r="F272" s="13">
        <v>10</v>
      </c>
      <c r="G272" s="13">
        <v>8160</v>
      </c>
      <c r="H272" s="13">
        <v>3942.9119999999998</v>
      </c>
    </row>
    <row r="273" spans="1:8" x14ac:dyDescent="0.35">
      <c r="A273" s="11">
        <v>41358</v>
      </c>
      <c r="B273" s="12">
        <v>1383</v>
      </c>
      <c r="C273" s="13" t="s">
        <v>27</v>
      </c>
      <c r="D273" s="13" t="s">
        <v>30</v>
      </c>
      <c r="E273" s="13" t="s">
        <v>28</v>
      </c>
      <c r="F273" s="13">
        <v>7</v>
      </c>
      <c r="G273" s="13">
        <v>2509.5</v>
      </c>
      <c r="H273" s="13">
        <v>858.7509</v>
      </c>
    </row>
    <row r="274" spans="1:8" x14ac:dyDescent="0.35">
      <c r="A274" s="11">
        <v>41359</v>
      </c>
      <c r="B274" s="12">
        <v>1384</v>
      </c>
      <c r="C274" s="13" t="s">
        <v>23</v>
      </c>
      <c r="D274" s="13" t="s">
        <v>30</v>
      </c>
      <c r="E274" s="13" t="s">
        <v>28</v>
      </c>
      <c r="F274" s="13">
        <v>7</v>
      </c>
      <c r="G274" s="13">
        <v>1732.5</v>
      </c>
      <c r="H274" s="13">
        <v>1503.81</v>
      </c>
    </row>
    <row r="275" spans="1:8" x14ac:dyDescent="0.35">
      <c r="A275" s="11">
        <v>41360</v>
      </c>
      <c r="B275" s="12">
        <v>1385</v>
      </c>
      <c r="C275" s="13" t="s">
        <v>26</v>
      </c>
      <c r="D275" s="13" t="s">
        <v>30</v>
      </c>
      <c r="E275" s="13" t="s">
        <v>28</v>
      </c>
      <c r="F275" s="13">
        <v>9</v>
      </c>
      <c r="G275" s="13">
        <v>2340</v>
      </c>
      <c r="H275" s="13">
        <v>2488.59</v>
      </c>
    </row>
    <row r="276" spans="1:8" x14ac:dyDescent="0.35">
      <c r="A276" s="11">
        <v>41361</v>
      </c>
      <c r="B276" s="12">
        <v>1386</v>
      </c>
      <c r="C276" s="13" t="s">
        <v>27</v>
      </c>
      <c r="D276" s="13" t="s">
        <v>30</v>
      </c>
      <c r="E276" s="13" t="s">
        <v>29</v>
      </c>
      <c r="F276" s="13">
        <v>10</v>
      </c>
      <c r="G276" s="13">
        <v>10960</v>
      </c>
      <c r="H276" s="13">
        <v>3741.7439999999997</v>
      </c>
    </row>
    <row r="277" spans="1:8" x14ac:dyDescent="0.35">
      <c r="A277" s="11">
        <v>41362</v>
      </c>
      <c r="B277" s="12">
        <v>1387</v>
      </c>
      <c r="C277" s="13" t="s">
        <v>23</v>
      </c>
      <c r="D277" s="13" t="s">
        <v>30</v>
      </c>
      <c r="E277" s="13" t="s">
        <v>29</v>
      </c>
      <c r="F277" s="13">
        <v>7</v>
      </c>
      <c r="G277" s="13">
        <v>8111.25</v>
      </c>
      <c r="H277" s="13">
        <v>597.799125</v>
      </c>
    </row>
    <row r="278" spans="1:8" x14ac:dyDescent="0.35">
      <c r="A278" s="11">
        <v>41363</v>
      </c>
      <c r="B278" s="12">
        <v>1388</v>
      </c>
      <c r="C278" s="13" t="s">
        <v>26</v>
      </c>
      <c r="D278" s="13" t="s">
        <v>30</v>
      </c>
      <c r="E278" s="13" t="s">
        <v>29</v>
      </c>
      <c r="F278" s="13">
        <v>6</v>
      </c>
      <c r="G278" s="13">
        <v>4878</v>
      </c>
      <c r="H278" s="13">
        <v>4765.8060000000005</v>
      </c>
    </row>
    <row r="279" spans="1:8" x14ac:dyDescent="0.35">
      <c r="A279" s="11">
        <v>41364</v>
      </c>
      <c r="B279" s="12">
        <v>1389</v>
      </c>
      <c r="C279" s="13" t="s">
        <v>27</v>
      </c>
      <c r="D279" s="13" t="s">
        <v>30</v>
      </c>
      <c r="E279" s="13" t="s">
        <v>25</v>
      </c>
      <c r="F279" s="13">
        <v>8</v>
      </c>
      <c r="G279" s="13">
        <v>14940</v>
      </c>
      <c r="H279" s="13">
        <v>5294.7359999999999</v>
      </c>
    </row>
    <row r="280" spans="1:8" x14ac:dyDescent="0.35">
      <c r="A280" s="11">
        <v>41365</v>
      </c>
      <c r="B280" s="12">
        <v>1390</v>
      </c>
      <c r="C280" s="13" t="s">
        <v>23</v>
      </c>
      <c r="D280" s="13" t="s">
        <v>30</v>
      </c>
      <c r="E280" s="13" t="s">
        <v>25</v>
      </c>
      <c r="F280" s="13">
        <v>8</v>
      </c>
      <c r="G280" s="13">
        <v>8280</v>
      </c>
      <c r="H280" s="13">
        <v>4222.7999999999993</v>
      </c>
    </row>
    <row r="281" spans="1:8" x14ac:dyDescent="0.35">
      <c r="A281" s="11">
        <v>41366</v>
      </c>
      <c r="B281" s="12">
        <v>1391</v>
      </c>
      <c r="C281" s="13" t="s">
        <v>26</v>
      </c>
      <c r="D281" s="13" t="s">
        <v>30</v>
      </c>
      <c r="E281" s="13" t="s">
        <v>25</v>
      </c>
      <c r="F281" s="13">
        <v>6</v>
      </c>
      <c r="G281" s="13">
        <v>2065.5</v>
      </c>
      <c r="H281" s="13">
        <v>2443.2799500000001</v>
      </c>
    </row>
    <row r="282" spans="1:8" x14ac:dyDescent="0.35">
      <c r="A282" s="11">
        <v>41367</v>
      </c>
      <c r="B282" s="12">
        <v>1392</v>
      </c>
      <c r="C282" s="13" t="s">
        <v>27</v>
      </c>
      <c r="D282" s="13" t="s">
        <v>30</v>
      </c>
      <c r="E282" s="13" t="s">
        <v>28</v>
      </c>
      <c r="F282" s="13">
        <v>8</v>
      </c>
      <c r="G282" s="13">
        <v>8028</v>
      </c>
      <c r="H282" s="13">
        <v>4016.6760000000004</v>
      </c>
    </row>
    <row r="283" spans="1:8" x14ac:dyDescent="0.35">
      <c r="A283" s="11">
        <v>41368</v>
      </c>
      <c r="B283" s="12">
        <v>1393</v>
      </c>
      <c r="C283" s="13" t="s">
        <v>23</v>
      </c>
      <c r="D283" s="13" t="s">
        <v>30</v>
      </c>
      <c r="E283" s="13" t="s">
        <v>28</v>
      </c>
      <c r="F283" s="13">
        <v>9</v>
      </c>
      <c r="G283" s="13">
        <v>8280</v>
      </c>
      <c r="H283" s="13">
        <v>3315.1049999999996</v>
      </c>
    </row>
    <row r="284" spans="1:8" x14ac:dyDescent="0.35">
      <c r="A284" s="11">
        <v>41369</v>
      </c>
      <c r="B284" s="12">
        <v>1394</v>
      </c>
      <c r="C284" s="13" t="s">
        <v>26</v>
      </c>
      <c r="D284" s="13" t="s">
        <v>30</v>
      </c>
      <c r="E284" s="13" t="s">
        <v>28</v>
      </c>
      <c r="F284" s="13">
        <v>7</v>
      </c>
      <c r="G284" s="13">
        <v>2215.5</v>
      </c>
      <c r="H284" s="13">
        <v>2865.9708000000005</v>
      </c>
    </row>
    <row r="285" spans="1:8" x14ac:dyDescent="0.35">
      <c r="A285" s="11">
        <v>41370</v>
      </c>
      <c r="B285" s="12">
        <v>1395</v>
      </c>
      <c r="C285" s="13" t="s">
        <v>27</v>
      </c>
      <c r="D285" s="13" t="s">
        <v>30</v>
      </c>
      <c r="E285" s="13" t="s">
        <v>29</v>
      </c>
      <c r="F285" s="13">
        <v>7</v>
      </c>
      <c r="G285" s="13">
        <v>12022.5</v>
      </c>
      <c r="H285" s="13">
        <v>2547.0868500000006</v>
      </c>
    </row>
    <row r="286" spans="1:8" x14ac:dyDescent="0.35">
      <c r="A286" s="11">
        <v>41371</v>
      </c>
      <c r="B286" s="12">
        <v>1396</v>
      </c>
      <c r="C286" s="13" t="s">
        <v>23</v>
      </c>
      <c r="D286" s="13" t="s">
        <v>30</v>
      </c>
      <c r="E286" s="13" t="s">
        <v>29</v>
      </c>
      <c r="F286" s="13">
        <v>10</v>
      </c>
      <c r="G286" s="13">
        <v>3600</v>
      </c>
      <c r="H286" s="13">
        <v>3808.8</v>
      </c>
    </row>
    <row r="287" spans="1:8" x14ac:dyDescent="0.35">
      <c r="A287" s="11">
        <v>41372</v>
      </c>
      <c r="B287" s="12">
        <v>1397</v>
      </c>
      <c r="C287" s="13" t="s">
        <v>26</v>
      </c>
      <c r="D287" s="13" t="s">
        <v>30</v>
      </c>
      <c r="E287" s="13" t="s">
        <v>29</v>
      </c>
      <c r="F287" s="13">
        <v>8</v>
      </c>
      <c r="G287" s="13">
        <v>5136</v>
      </c>
      <c r="H287" s="13">
        <v>2781.9143999999997</v>
      </c>
    </row>
    <row r="288" spans="1:8" x14ac:dyDescent="0.35">
      <c r="A288" s="11">
        <v>41373</v>
      </c>
      <c r="B288" s="12">
        <v>1398</v>
      </c>
      <c r="C288" s="13" t="s">
        <v>27</v>
      </c>
      <c r="D288" s="13" t="s">
        <v>30</v>
      </c>
      <c r="E288" s="13" t="s">
        <v>25</v>
      </c>
      <c r="F288" s="13">
        <v>9</v>
      </c>
      <c r="G288" s="13">
        <v>2430</v>
      </c>
      <c r="H288" s="13">
        <v>5209.920000000001</v>
      </c>
    </row>
    <row r="289" spans="1:8" x14ac:dyDescent="0.35">
      <c r="A289" s="11">
        <v>41374</v>
      </c>
      <c r="B289" s="12">
        <v>1399</v>
      </c>
      <c r="C289" s="13" t="s">
        <v>23</v>
      </c>
      <c r="D289" s="13" t="s">
        <v>30</v>
      </c>
      <c r="E289" s="13" t="s">
        <v>25</v>
      </c>
      <c r="F289" s="13">
        <v>10</v>
      </c>
      <c r="G289" s="13">
        <v>10160</v>
      </c>
      <c r="H289" s="13">
        <v>3020.5679999999998</v>
      </c>
    </row>
    <row r="290" spans="1:8" x14ac:dyDescent="0.35">
      <c r="A290" s="11">
        <v>41375</v>
      </c>
      <c r="B290" s="12">
        <v>1400</v>
      </c>
      <c r="C290" s="13" t="s">
        <v>26</v>
      </c>
      <c r="D290" s="13" t="s">
        <v>30</v>
      </c>
      <c r="E290" s="13" t="s">
        <v>25</v>
      </c>
      <c r="F290" s="13">
        <v>7</v>
      </c>
      <c r="G290" s="13">
        <v>8379</v>
      </c>
      <c r="H290" s="13">
        <v>4688.0505000000003</v>
      </c>
    </row>
    <row r="291" spans="1:8" x14ac:dyDescent="0.35">
      <c r="A291" s="11">
        <v>41376</v>
      </c>
      <c r="B291" s="12">
        <v>1401</v>
      </c>
      <c r="C291" s="13" t="s">
        <v>27</v>
      </c>
      <c r="D291" s="13" t="s">
        <v>30</v>
      </c>
      <c r="E291" s="13" t="s">
        <v>28</v>
      </c>
      <c r="F291" s="13">
        <v>10</v>
      </c>
      <c r="G291" s="13">
        <v>3420</v>
      </c>
      <c r="H291" s="13">
        <v>1141.596</v>
      </c>
    </row>
    <row r="292" spans="1:8" x14ac:dyDescent="0.35">
      <c r="A292" s="11">
        <v>41377</v>
      </c>
      <c r="B292" s="12">
        <v>1402</v>
      </c>
      <c r="C292" s="13" t="s">
        <v>23</v>
      </c>
      <c r="D292" s="13" t="s">
        <v>30</v>
      </c>
      <c r="E292" s="13" t="s">
        <v>28</v>
      </c>
      <c r="F292" s="13">
        <v>7</v>
      </c>
      <c r="G292" s="13">
        <v>2572.5</v>
      </c>
      <c r="H292" s="13">
        <v>1882.5554999999999</v>
      </c>
    </row>
    <row r="293" spans="1:8" x14ac:dyDescent="0.35">
      <c r="A293" s="11">
        <v>41378</v>
      </c>
      <c r="B293" s="12">
        <v>1403</v>
      </c>
      <c r="C293" s="13" t="s">
        <v>26</v>
      </c>
      <c r="D293" s="13" t="s">
        <v>30</v>
      </c>
      <c r="E293" s="13" t="s">
        <v>28</v>
      </c>
      <c r="F293" s="13">
        <v>7</v>
      </c>
      <c r="G293" s="13">
        <v>12652.5</v>
      </c>
      <c r="H293" s="13">
        <v>807.73559999999998</v>
      </c>
    </row>
    <row r="294" spans="1:8" x14ac:dyDescent="0.35">
      <c r="A294" s="11">
        <v>41379</v>
      </c>
      <c r="B294" s="12">
        <v>1404</v>
      </c>
      <c r="C294" s="13" t="s">
        <v>27</v>
      </c>
      <c r="D294" s="13" t="s">
        <v>30</v>
      </c>
      <c r="E294" s="13" t="s">
        <v>29</v>
      </c>
      <c r="F294" s="13">
        <v>6</v>
      </c>
      <c r="G294" s="13">
        <v>8856</v>
      </c>
      <c r="H294" s="13">
        <v>4363.7939999999999</v>
      </c>
    </row>
    <row r="295" spans="1:8" x14ac:dyDescent="0.35">
      <c r="A295" s="11">
        <v>41380</v>
      </c>
      <c r="B295" s="12">
        <v>1405</v>
      </c>
      <c r="C295" s="13" t="s">
        <v>23</v>
      </c>
      <c r="D295" s="13" t="s">
        <v>30</v>
      </c>
      <c r="E295" s="13" t="s">
        <v>29</v>
      </c>
      <c r="F295" s="13">
        <v>7</v>
      </c>
      <c r="G295" s="13">
        <v>8820</v>
      </c>
      <c r="H295" s="13">
        <v>2115.6239999999998</v>
      </c>
    </row>
    <row r="296" spans="1:8" x14ac:dyDescent="0.35">
      <c r="A296" s="11">
        <v>41381</v>
      </c>
      <c r="B296" s="12">
        <v>1406</v>
      </c>
      <c r="C296" s="13" t="s">
        <v>26</v>
      </c>
      <c r="D296" s="13" t="s">
        <v>30</v>
      </c>
      <c r="E296" s="13" t="s">
        <v>29</v>
      </c>
      <c r="F296" s="13">
        <v>9</v>
      </c>
      <c r="G296" s="13">
        <v>13230</v>
      </c>
      <c r="H296" s="13">
        <v>2436.9659999999999</v>
      </c>
    </row>
    <row r="297" spans="1:8" x14ac:dyDescent="0.35">
      <c r="A297" s="11">
        <v>41382</v>
      </c>
      <c r="B297" s="12">
        <v>1407</v>
      </c>
      <c r="C297" s="13" t="s">
        <v>27</v>
      </c>
      <c r="D297" s="13" t="s">
        <v>30</v>
      </c>
      <c r="E297" s="13" t="s">
        <v>25</v>
      </c>
      <c r="F297" s="13">
        <v>6</v>
      </c>
      <c r="G297" s="13">
        <v>6358.5</v>
      </c>
      <c r="H297" s="13">
        <v>2668.0265999999992</v>
      </c>
    </row>
    <row r="298" spans="1:8" x14ac:dyDescent="0.35">
      <c r="A298" s="11">
        <v>41383</v>
      </c>
      <c r="B298" s="12">
        <v>1408</v>
      </c>
      <c r="C298" s="13" t="s">
        <v>23</v>
      </c>
      <c r="D298" s="13" t="s">
        <v>30</v>
      </c>
      <c r="E298" s="13" t="s">
        <v>25</v>
      </c>
      <c r="F298" s="13">
        <v>9</v>
      </c>
      <c r="G298" s="13">
        <v>13095</v>
      </c>
      <c r="H298" s="13">
        <v>1701.3023999999998</v>
      </c>
    </row>
    <row r="299" spans="1:8" x14ac:dyDescent="0.35">
      <c r="A299" s="11">
        <v>41384</v>
      </c>
      <c r="B299" s="12">
        <v>1409</v>
      </c>
      <c r="C299" s="13" t="s">
        <v>26</v>
      </c>
      <c r="D299" s="13" t="s">
        <v>30</v>
      </c>
      <c r="E299" s="13" t="s">
        <v>25</v>
      </c>
      <c r="F299" s="13">
        <v>7</v>
      </c>
      <c r="G299" s="13">
        <v>3822</v>
      </c>
      <c r="H299" s="13">
        <v>3359.538</v>
      </c>
    </row>
    <row r="300" spans="1:8" x14ac:dyDescent="0.35">
      <c r="A300" s="11">
        <v>41385</v>
      </c>
      <c r="B300" s="12">
        <v>1410</v>
      </c>
      <c r="C300" s="13" t="s">
        <v>27</v>
      </c>
      <c r="D300" s="13" t="s">
        <v>30</v>
      </c>
      <c r="E300" s="13" t="s">
        <v>28</v>
      </c>
      <c r="F300" s="13">
        <v>10</v>
      </c>
      <c r="G300" s="13">
        <v>13600</v>
      </c>
      <c r="H300" s="13">
        <v>5811.2800000000007</v>
      </c>
    </row>
    <row r="301" spans="1:8" x14ac:dyDescent="0.35">
      <c r="A301" s="11">
        <v>41386</v>
      </c>
      <c r="B301" s="12">
        <v>1411</v>
      </c>
      <c r="C301" s="13" t="s">
        <v>23</v>
      </c>
      <c r="D301" s="13" t="s">
        <v>30</v>
      </c>
      <c r="E301" s="13" t="s">
        <v>28</v>
      </c>
      <c r="F301" s="13">
        <v>8</v>
      </c>
      <c r="G301" s="13">
        <v>8640</v>
      </c>
      <c r="H301" s="13">
        <v>4520.880000000001</v>
      </c>
    </row>
    <row r="302" spans="1:8" x14ac:dyDescent="0.35">
      <c r="A302" s="11">
        <v>41387</v>
      </c>
      <c r="B302" s="12">
        <v>1412</v>
      </c>
      <c r="C302" s="13" t="s">
        <v>26</v>
      </c>
      <c r="D302" s="13" t="s">
        <v>30</v>
      </c>
      <c r="E302" s="13" t="s">
        <v>28</v>
      </c>
      <c r="F302" s="13">
        <v>9</v>
      </c>
      <c r="G302" s="13">
        <v>2421</v>
      </c>
      <c r="H302" s="13">
        <v>3976.4924999999998</v>
      </c>
    </row>
    <row r="303" spans="1:8" x14ac:dyDescent="0.35">
      <c r="A303" s="11">
        <v>41388</v>
      </c>
      <c r="B303" s="12">
        <v>1413</v>
      </c>
      <c r="C303" s="13" t="s">
        <v>27</v>
      </c>
      <c r="D303" s="13" t="s">
        <v>30</v>
      </c>
      <c r="E303" s="13" t="s">
        <v>29</v>
      </c>
      <c r="F303" s="13">
        <v>6</v>
      </c>
      <c r="G303" s="13">
        <v>7290</v>
      </c>
      <c r="H303" s="13">
        <v>3423.5662499999999</v>
      </c>
    </row>
    <row r="304" spans="1:8" x14ac:dyDescent="0.35">
      <c r="A304" s="11">
        <v>41389</v>
      </c>
      <c r="B304" s="12">
        <v>1414</v>
      </c>
      <c r="C304" s="13" t="s">
        <v>23</v>
      </c>
      <c r="D304" s="13" t="s">
        <v>30</v>
      </c>
      <c r="E304" s="13" t="s">
        <v>29</v>
      </c>
      <c r="F304" s="13">
        <v>8</v>
      </c>
      <c r="G304" s="13">
        <v>6192</v>
      </c>
      <c r="H304" s="13">
        <v>2479.8959999999997</v>
      </c>
    </row>
    <row r="305" spans="1:8" x14ac:dyDescent="0.35">
      <c r="A305" s="11">
        <v>41390</v>
      </c>
      <c r="B305" s="12">
        <v>1415</v>
      </c>
      <c r="C305" s="13" t="s">
        <v>26</v>
      </c>
      <c r="D305" s="13" t="s">
        <v>30</v>
      </c>
      <c r="E305" s="13" t="s">
        <v>29</v>
      </c>
      <c r="F305" s="13">
        <v>6</v>
      </c>
      <c r="G305" s="13">
        <v>2146.5</v>
      </c>
      <c r="H305" s="13">
        <v>2718.7569000000003</v>
      </c>
    </row>
    <row r="306" spans="1:8" x14ac:dyDescent="0.35">
      <c r="A306" s="11">
        <v>41391</v>
      </c>
      <c r="B306" s="12">
        <v>1416</v>
      </c>
      <c r="C306" s="13" t="s">
        <v>27</v>
      </c>
      <c r="D306" s="13" t="s">
        <v>30</v>
      </c>
      <c r="E306" s="13" t="s">
        <v>25</v>
      </c>
      <c r="F306" s="13">
        <v>7</v>
      </c>
      <c r="G306" s="13">
        <v>7528.5</v>
      </c>
      <c r="H306" s="13">
        <v>769.66364999999985</v>
      </c>
    </row>
    <row r="307" spans="1:8" x14ac:dyDescent="0.35">
      <c r="A307" s="11">
        <v>41392</v>
      </c>
      <c r="B307" s="12">
        <v>1417</v>
      </c>
      <c r="C307" s="13" t="s">
        <v>23</v>
      </c>
      <c r="D307" s="13" t="s">
        <v>30</v>
      </c>
      <c r="E307" s="13" t="s">
        <v>25</v>
      </c>
      <c r="F307" s="13">
        <v>6</v>
      </c>
      <c r="G307" s="13">
        <v>2106</v>
      </c>
      <c r="H307" s="13">
        <v>1447.6644000000001</v>
      </c>
    </row>
    <row r="308" spans="1:8" x14ac:dyDescent="0.35">
      <c r="A308" s="11">
        <v>41393</v>
      </c>
      <c r="B308" s="12">
        <v>1418</v>
      </c>
      <c r="C308" s="13" t="s">
        <v>26</v>
      </c>
      <c r="D308" s="13" t="s">
        <v>30</v>
      </c>
      <c r="E308" s="13" t="s">
        <v>25</v>
      </c>
      <c r="F308" s="13">
        <v>10</v>
      </c>
      <c r="G308" s="13">
        <v>8480</v>
      </c>
      <c r="H308" s="13">
        <v>2146.5</v>
      </c>
    </row>
    <row r="309" spans="1:8" x14ac:dyDescent="0.35">
      <c r="A309" s="11">
        <v>41394</v>
      </c>
      <c r="B309" s="12">
        <v>1419</v>
      </c>
      <c r="C309" s="13" t="s">
        <v>27</v>
      </c>
      <c r="D309" s="13" t="s">
        <v>30</v>
      </c>
      <c r="E309" s="13" t="s">
        <v>28</v>
      </c>
      <c r="F309" s="13">
        <v>6</v>
      </c>
      <c r="G309" s="13">
        <v>4266</v>
      </c>
      <c r="H309" s="13">
        <v>665.92259999999999</v>
      </c>
    </row>
    <row r="310" spans="1:8" x14ac:dyDescent="0.35">
      <c r="A310" s="11">
        <v>41395</v>
      </c>
      <c r="B310" s="12">
        <v>1420</v>
      </c>
      <c r="C310" s="13" t="s">
        <v>23</v>
      </c>
      <c r="D310" s="13" t="s">
        <v>30</v>
      </c>
      <c r="E310" s="13" t="s">
        <v>28</v>
      </c>
      <c r="F310" s="13">
        <v>10</v>
      </c>
      <c r="G310" s="13">
        <v>7245</v>
      </c>
      <c r="H310" s="13">
        <v>3210.2594999999997</v>
      </c>
    </row>
    <row r="311" spans="1:8" x14ac:dyDescent="0.35">
      <c r="A311" s="11">
        <v>41396</v>
      </c>
      <c r="B311" s="12">
        <v>1421</v>
      </c>
      <c r="C311" s="13" t="s">
        <v>26</v>
      </c>
      <c r="D311" s="13" t="s">
        <v>30</v>
      </c>
      <c r="E311" s="13" t="s">
        <v>28</v>
      </c>
      <c r="F311" s="13">
        <v>9</v>
      </c>
      <c r="G311" s="13">
        <v>1552.5</v>
      </c>
      <c r="H311" s="13">
        <v>2023.8390000000002</v>
      </c>
    </row>
    <row r="312" spans="1:8" x14ac:dyDescent="0.35">
      <c r="A312" s="11">
        <v>41397</v>
      </c>
      <c r="B312" s="12">
        <v>1422</v>
      </c>
      <c r="C312" s="13" t="s">
        <v>27</v>
      </c>
      <c r="D312" s="13" t="s">
        <v>30</v>
      </c>
      <c r="E312" s="13" t="s">
        <v>29</v>
      </c>
      <c r="F312" s="13">
        <v>6</v>
      </c>
      <c r="G312" s="13">
        <v>2151</v>
      </c>
      <c r="H312" s="13">
        <v>3784.8995999999997</v>
      </c>
    </row>
    <row r="313" spans="1:8" x14ac:dyDescent="0.35">
      <c r="A313" s="11">
        <v>41398</v>
      </c>
      <c r="B313" s="12">
        <v>1423</v>
      </c>
      <c r="C313" s="13" t="s">
        <v>23</v>
      </c>
      <c r="D313" s="13" t="s">
        <v>30</v>
      </c>
      <c r="E313" s="13" t="s">
        <v>29</v>
      </c>
      <c r="F313" s="13">
        <v>6</v>
      </c>
      <c r="G313" s="13">
        <v>7222.5</v>
      </c>
      <c r="H313" s="13">
        <v>1295.7165</v>
      </c>
    </row>
    <row r="314" spans="1:8" x14ac:dyDescent="0.35">
      <c r="A314" s="11">
        <v>41399</v>
      </c>
      <c r="B314" s="12">
        <v>1424</v>
      </c>
      <c r="C314" s="13" t="s">
        <v>26</v>
      </c>
      <c r="D314" s="13" t="s">
        <v>30</v>
      </c>
      <c r="E314" s="13" t="s">
        <v>29</v>
      </c>
      <c r="F314" s="13">
        <v>6</v>
      </c>
      <c r="G314" s="13">
        <v>7632</v>
      </c>
      <c r="H314" s="13">
        <v>2415.5280000000002</v>
      </c>
    </row>
    <row r="315" spans="1:8" x14ac:dyDescent="0.35">
      <c r="A315" s="11">
        <v>41400</v>
      </c>
      <c r="B315" s="12">
        <v>1425</v>
      </c>
      <c r="C315" s="13" t="s">
        <v>27</v>
      </c>
      <c r="D315" s="13" t="s">
        <v>30</v>
      </c>
      <c r="E315" s="13" t="s">
        <v>25</v>
      </c>
      <c r="F315" s="13">
        <v>9</v>
      </c>
      <c r="G315" s="13">
        <v>10476</v>
      </c>
      <c r="H315" s="13">
        <v>4955.1480000000001</v>
      </c>
    </row>
    <row r="316" spans="1:8" x14ac:dyDescent="0.35">
      <c r="A316" s="11">
        <v>41401</v>
      </c>
      <c r="B316" s="12">
        <v>1426</v>
      </c>
      <c r="C316" s="13" t="s">
        <v>23</v>
      </c>
      <c r="D316" s="13" t="s">
        <v>30</v>
      </c>
      <c r="E316" s="13" t="s">
        <v>25</v>
      </c>
      <c r="F316" s="13">
        <v>7</v>
      </c>
      <c r="G316" s="13">
        <v>6930</v>
      </c>
      <c r="H316" s="13">
        <v>703.74149999999997</v>
      </c>
    </row>
    <row r="317" spans="1:8" x14ac:dyDescent="0.35">
      <c r="A317" s="11">
        <v>41767</v>
      </c>
      <c r="B317" s="12">
        <v>1427</v>
      </c>
      <c r="C317" s="13" t="s">
        <v>26</v>
      </c>
      <c r="D317" s="13" t="s">
        <v>30</v>
      </c>
      <c r="E317" s="13" t="s">
        <v>25</v>
      </c>
      <c r="F317" s="13">
        <v>8</v>
      </c>
      <c r="G317" s="13">
        <v>10380</v>
      </c>
      <c r="H317" s="13">
        <v>2044.6523999999999</v>
      </c>
    </row>
    <row r="318" spans="1:8" x14ac:dyDescent="0.35">
      <c r="A318" s="11">
        <v>41768</v>
      </c>
      <c r="B318" s="12">
        <v>1428</v>
      </c>
      <c r="C318" s="13" t="s">
        <v>27</v>
      </c>
      <c r="D318" s="13" t="s">
        <v>30</v>
      </c>
      <c r="E318" s="13" t="s">
        <v>28</v>
      </c>
      <c r="F318" s="13">
        <v>7</v>
      </c>
      <c r="G318" s="13">
        <v>11088</v>
      </c>
      <c r="H318" s="13">
        <v>3463.8912</v>
      </c>
    </row>
    <row r="319" spans="1:8" x14ac:dyDescent="0.35">
      <c r="A319" s="11">
        <v>41769</v>
      </c>
      <c r="B319" s="12">
        <v>1429</v>
      </c>
      <c r="C319" s="13" t="s">
        <v>23</v>
      </c>
      <c r="D319" s="13" t="s">
        <v>30</v>
      </c>
      <c r="E319" s="13" t="s">
        <v>28</v>
      </c>
      <c r="F319" s="13">
        <v>6</v>
      </c>
      <c r="G319" s="13">
        <v>5535</v>
      </c>
      <c r="H319" s="13">
        <v>3875.4224999999997</v>
      </c>
    </row>
    <row r="320" spans="1:8" x14ac:dyDescent="0.35">
      <c r="A320" s="11">
        <v>41770</v>
      </c>
      <c r="B320" s="12">
        <v>1430</v>
      </c>
      <c r="C320" s="13" t="s">
        <v>26</v>
      </c>
      <c r="D320" s="13" t="s">
        <v>30</v>
      </c>
      <c r="E320" s="13" t="s">
        <v>28</v>
      </c>
      <c r="F320" s="13">
        <v>9</v>
      </c>
      <c r="G320" s="13">
        <v>5058</v>
      </c>
      <c r="H320" s="13">
        <v>1083.9294</v>
      </c>
    </row>
    <row r="321" spans="1:8" x14ac:dyDescent="0.35">
      <c r="A321" s="11">
        <v>41771</v>
      </c>
      <c r="B321" s="12">
        <v>1431</v>
      </c>
      <c r="C321" s="13" t="s">
        <v>27</v>
      </c>
      <c r="D321" s="13" t="s">
        <v>30</v>
      </c>
      <c r="E321" s="13" t="s">
        <v>29</v>
      </c>
      <c r="F321" s="13">
        <v>8</v>
      </c>
      <c r="G321" s="13">
        <v>11680</v>
      </c>
      <c r="H321" s="13">
        <v>1725.8368</v>
      </c>
    </row>
    <row r="322" spans="1:8" x14ac:dyDescent="0.35">
      <c r="A322" s="11">
        <v>41772</v>
      </c>
      <c r="B322" s="12">
        <v>1432</v>
      </c>
      <c r="C322" s="13" t="s">
        <v>23</v>
      </c>
      <c r="D322" s="13" t="s">
        <v>30</v>
      </c>
      <c r="E322" s="13" t="s">
        <v>29</v>
      </c>
      <c r="F322" s="13">
        <v>6</v>
      </c>
      <c r="G322" s="13">
        <v>9684</v>
      </c>
      <c r="H322" s="13">
        <v>833.55029999999999</v>
      </c>
    </row>
    <row r="323" spans="1:8" x14ac:dyDescent="0.35">
      <c r="A323" s="11">
        <v>41773</v>
      </c>
      <c r="B323" s="12">
        <v>1433</v>
      </c>
      <c r="C323" s="13" t="s">
        <v>26</v>
      </c>
      <c r="D323" s="13" t="s">
        <v>30</v>
      </c>
      <c r="E323" s="13" t="s">
        <v>29</v>
      </c>
      <c r="F323" s="13">
        <v>8</v>
      </c>
      <c r="G323" s="13">
        <v>4176</v>
      </c>
      <c r="H323" s="13">
        <v>1383.9264000000001</v>
      </c>
    </row>
    <row r="324" spans="1:8" x14ac:dyDescent="0.35">
      <c r="A324" s="11">
        <v>41774</v>
      </c>
      <c r="B324" s="12">
        <v>1434</v>
      </c>
      <c r="C324" s="13" t="s">
        <v>27</v>
      </c>
      <c r="D324" s="13" t="s">
        <v>30</v>
      </c>
      <c r="E324" s="13" t="s">
        <v>25</v>
      </c>
      <c r="F324" s="13">
        <v>10</v>
      </c>
      <c r="G324" s="13">
        <v>6345</v>
      </c>
      <c r="H324" s="13">
        <v>724.81050000000005</v>
      </c>
    </row>
    <row r="325" spans="1:8" x14ac:dyDescent="0.35">
      <c r="A325" s="11">
        <v>41775</v>
      </c>
      <c r="B325" s="12">
        <v>1435</v>
      </c>
      <c r="C325" s="13" t="s">
        <v>23</v>
      </c>
      <c r="D325" s="13" t="s">
        <v>30</v>
      </c>
      <c r="E325" s="13" t="s">
        <v>25</v>
      </c>
      <c r="F325" s="13">
        <v>9</v>
      </c>
      <c r="G325" s="13">
        <v>9126</v>
      </c>
      <c r="H325" s="13">
        <v>1822.4621999999999</v>
      </c>
    </row>
    <row r="326" spans="1:8" x14ac:dyDescent="0.35">
      <c r="A326" s="11">
        <v>41776</v>
      </c>
      <c r="B326" s="12">
        <v>1436</v>
      </c>
      <c r="C326" s="13" t="s">
        <v>26</v>
      </c>
      <c r="D326" s="13" t="s">
        <v>30</v>
      </c>
      <c r="E326" s="13" t="s">
        <v>25</v>
      </c>
      <c r="F326" s="13">
        <v>9</v>
      </c>
      <c r="G326" s="13">
        <v>11205</v>
      </c>
      <c r="H326" s="13">
        <v>4979.5020000000004</v>
      </c>
    </row>
    <row r="327" spans="1:8" x14ac:dyDescent="0.35">
      <c r="A327" s="11">
        <v>41777</v>
      </c>
      <c r="B327" s="12">
        <v>1437</v>
      </c>
      <c r="C327" s="13" t="s">
        <v>27</v>
      </c>
      <c r="D327" s="13" t="s">
        <v>30</v>
      </c>
      <c r="E327" s="13" t="s">
        <v>28</v>
      </c>
      <c r="F327" s="13">
        <v>10</v>
      </c>
      <c r="G327" s="13">
        <v>6150</v>
      </c>
      <c r="H327" s="13">
        <v>1254.5999999999999</v>
      </c>
    </row>
    <row r="328" spans="1:8" x14ac:dyDescent="0.35">
      <c r="A328" s="11">
        <v>41778</v>
      </c>
      <c r="B328" s="12">
        <v>1438</v>
      </c>
      <c r="C328" s="13" t="s">
        <v>23</v>
      </c>
      <c r="D328" s="13" t="s">
        <v>30</v>
      </c>
      <c r="E328" s="13" t="s">
        <v>28</v>
      </c>
      <c r="F328" s="13">
        <v>8</v>
      </c>
      <c r="G328" s="13">
        <v>10860</v>
      </c>
      <c r="H328" s="13">
        <v>3724.9800000000005</v>
      </c>
    </row>
    <row r="329" spans="1:8" x14ac:dyDescent="0.35">
      <c r="A329" s="11">
        <v>41779</v>
      </c>
      <c r="B329" s="12">
        <v>1439</v>
      </c>
      <c r="C329" s="13" t="s">
        <v>26</v>
      </c>
      <c r="D329" s="13" t="s">
        <v>30</v>
      </c>
      <c r="E329" s="13" t="s">
        <v>28</v>
      </c>
      <c r="F329" s="13">
        <v>10</v>
      </c>
      <c r="G329" s="13">
        <v>8775</v>
      </c>
      <c r="H329" s="13">
        <v>3239.7299999999996</v>
      </c>
    </row>
    <row r="330" spans="1:8" x14ac:dyDescent="0.35">
      <c r="A330" s="11">
        <v>41780</v>
      </c>
      <c r="B330" s="12">
        <v>1440</v>
      </c>
      <c r="C330" s="13" t="s">
        <v>27</v>
      </c>
      <c r="D330" s="13" t="s">
        <v>30</v>
      </c>
      <c r="E330" s="13" t="s">
        <v>29</v>
      </c>
      <c r="F330" s="13">
        <v>6</v>
      </c>
      <c r="G330" s="13">
        <v>7317</v>
      </c>
      <c r="H330" s="13">
        <v>3698.4996000000001</v>
      </c>
    </row>
    <row r="331" spans="1:8" x14ac:dyDescent="0.35">
      <c r="A331" s="11">
        <v>41781</v>
      </c>
      <c r="B331" s="12">
        <v>1441</v>
      </c>
      <c r="C331" s="13" t="s">
        <v>23</v>
      </c>
      <c r="D331" s="13" t="s">
        <v>30</v>
      </c>
      <c r="E331" s="13" t="s">
        <v>29</v>
      </c>
      <c r="F331" s="13">
        <v>9</v>
      </c>
      <c r="G331" s="13">
        <v>6885</v>
      </c>
      <c r="H331" s="13">
        <v>2968.1235000000001</v>
      </c>
    </row>
    <row r="332" spans="1:8" x14ac:dyDescent="0.35">
      <c r="A332" s="11">
        <v>41782</v>
      </c>
      <c r="B332" s="12">
        <v>1442</v>
      </c>
      <c r="C332" s="13" t="s">
        <v>26</v>
      </c>
      <c r="D332" s="13" t="s">
        <v>30</v>
      </c>
      <c r="E332" s="13" t="s">
        <v>29</v>
      </c>
      <c r="F332" s="13">
        <v>8</v>
      </c>
      <c r="G332" s="13">
        <v>4608</v>
      </c>
      <c r="H332" s="13">
        <v>2087.424</v>
      </c>
    </row>
    <row r="333" spans="1:8" x14ac:dyDescent="0.35">
      <c r="A333" s="11">
        <v>41783</v>
      </c>
      <c r="B333" s="12">
        <v>1443</v>
      </c>
      <c r="C333" s="13" t="s">
        <v>27</v>
      </c>
      <c r="D333" s="13" t="s">
        <v>30</v>
      </c>
      <c r="E333" s="13" t="s">
        <v>25</v>
      </c>
      <c r="F333" s="13">
        <v>8</v>
      </c>
      <c r="G333" s="13">
        <v>6960</v>
      </c>
      <c r="H333" s="13">
        <v>1524.9359999999999</v>
      </c>
    </row>
    <row r="334" spans="1:8" x14ac:dyDescent="0.35">
      <c r="A334" s="11">
        <v>41784</v>
      </c>
      <c r="B334" s="12">
        <v>1444</v>
      </c>
      <c r="C334" s="13" t="s">
        <v>23</v>
      </c>
      <c r="D334" s="13" t="s">
        <v>30</v>
      </c>
      <c r="E334" s="13" t="s">
        <v>25</v>
      </c>
      <c r="F334" s="13">
        <v>10</v>
      </c>
      <c r="G334" s="13">
        <v>4940</v>
      </c>
      <c r="H334" s="13">
        <v>3269.2920000000004</v>
      </c>
    </row>
    <row r="335" spans="1:8" x14ac:dyDescent="0.35">
      <c r="A335" s="11">
        <v>41785</v>
      </c>
      <c r="B335" s="12">
        <v>1445</v>
      </c>
      <c r="C335" s="13" t="s">
        <v>26</v>
      </c>
      <c r="D335" s="13" t="s">
        <v>30</v>
      </c>
      <c r="E335" s="13" t="s">
        <v>25</v>
      </c>
      <c r="F335" s="13">
        <v>9</v>
      </c>
      <c r="G335" s="13">
        <v>4644</v>
      </c>
      <c r="H335" s="13">
        <v>840.7962</v>
      </c>
    </row>
    <row r="336" spans="1:8" x14ac:dyDescent="0.35">
      <c r="A336" s="11">
        <v>41786</v>
      </c>
      <c r="B336" s="12">
        <v>1446</v>
      </c>
      <c r="C336" s="13" t="s">
        <v>27</v>
      </c>
      <c r="D336" s="13" t="s">
        <v>30</v>
      </c>
      <c r="E336" s="13" t="s">
        <v>28</v>
      </c>
      <c r="F336" s="13">
        <v>9</v>
      </c>
      <c r="G336" s="13">
        <v>5040</v>
      </c>
      <c r="H336" s="13">
        <v>3241.7280000000001</v>
      </c>
    </row>
    <row r="337" spans="1:8" x14ac:dyDescent="0.35">
      <c r="A337" s="11">
        <v>41787</v>
      </c>
      <c r="B337" s="12">
        <v>1447</v>
      </c>
      <c r="C337" s="13" t="s">
        <v>23</v>
      </c>
      <c r="D337" s="13" t="s">
        <v>30</v>
      </c>
      <c r="E337" s="13" t="s">
        <v>28</v>
      </c>
      <c r="F337" s="13">
        <v>10</v>
      </c>
      <c r="G337" s="13">
        <v>3390</v>
      </c>
      <c r="H337" s="13">
        <v>601.72499999999991</v>
      </c>
    </row>
    <row r="338" spans="1:8" x14ac:dyDescent="0.35">
      <c r="A338" s="11">
        <v>41788</v>
      </c>
      <c r="B338" s="12">
        <v>1448</v>
      </c>
      <c r="C338" s="13" t="s">
        <v>26</v>
      </c>
      <c r="D338" s="13" t="s">
        <v>30</v>
      </c>
      <c r="E338" s="13" t="s">
        <v>28</v>
      </c>
      <c r="F338" s="13">
        <v>7</v>
      </c>
      <c r="G338" s="13">
        <v>2740.5</v>
      </c>
      <c r="H338" s="13">
        <v>1859.1551999999999</v>
      </c>
    </row>
    <row r="339" spans="1:8" x14ac:dyDescent="0.35">
      <c r="A339" s="11">
        <v>41789</v>
      </c>
      <c r="B339" s="12">
        <v>1449</v>
      </c>
      <c r="C339" s="13" t="s">
        <v>27</v>
      </c>
      <c r="D339" s="13" t="s">
        <v>30</v>
      </c>
      <c r="E339" s="13" t="s">
        <v>29</v>
      </c>
      <c r="F339" s="13">
        <v>9</v>
      </c>
      <c r="G339" s="13">
        <v>5454</v>
      </c>
      <c r="H339" s="13">
        <v>3256.8561</v>
      </c>
    </row>
    <row r="340" spans="1:8" x14ac:dyDescent="0.35">
      <c r="A340" s="11">
        <v>41790</v>
      </c>
      <c r="B340" s="12">
        <v>1450</v>
      </c>
      <c r="C340" s="13" t="s">
        <v>23</v>
      </c>
      <c r="D340" s="13" t="s">
        <v>30</v>
      </c>
      <c r="E340" s="13" t="s">
        <v>29</v>
      </c>
      <c r="F340" s="13">
        <v>7</v>
      </c>
      <c r="G340" s="13">
        <v>12337.5</v>
      </c>
      <c r="H340" s="13">
        <v>3086.8424999999993</v>
      </c>
    </row>
    <row r="341" spans="1:8" x14ac:dyDescent="0.35">
      <c r="A341" s="11">
        <v>41791</v>
      </c>
      <c r="B341" s="12">
        <v>1451</v>
      </c>
      <c r="C341" s="13" t="s">
        <v>26</v>
      </c>
      <c r="D341" s="13" t="s">
        <v>30</v>
      </c>
      <c r="E341" s="13" t="s">
        <v>29</v>
      </c>
      <c r="F341" s="13">
        <v>6</v>
      </c>
      <c r="G341" s="13">
        <v>9756</v>
      </c>
      <c r="H341" s="13">
        <v>1684.8612000000001</v>
      </c>
    </row>
    <row r="342" spans="1:8" x14ac:dyDescent="0.35">
      <c r="A342" s="11">
        <v>41792</v>
      </c>
      <c r="B342" s="12">
        <v>1452</v>
      </c>
      <c r="C342" s="13" t="s">
        <v>27</v>
      </c>
      <c r="D342" s="13" t="s">
        <v>30</v>
      </c>
      <c r="E342" s="13" t="s">
        <v>25</v>
      </c>
      <c r="F342" s="13">
        <v>7</v>
      </c>
      <c r="G342" s="13">
        <v>4851</v>
      </c>
      <c r="H342" s="13">
        <v>4334.8536000000004</v>
      </c>
    </row>
    <row r="343" spans="1:8" x14ac:dyDescent="0.35">
      <c r="A343" s="11">
        <v>41793</v>
      </c>
      <c r="B343" s="12">
        <v>1453</v>
      </c>
      <c r="C343" s="13" t="s">
        <v>23</v>
      </c>
      <c r="D343" s="13" t="s">
        <v>30</v>
      </c>
      <c r="E343" s="13" t="s">
        <v>25</v>
      </c>
      <c r="F343" s="13">
        <v>6</v>
      </c>
      <c r="G343" s="13">
        <v>2016</v>
      </c>
      <c r="H343" s="13">
        <v>3302.2080000000001</v>
      </c>
    </row>
    <row r="344" spans="1:8" x14ac:dyDescent="0.35">
      <c r="A344" s="11">
        <v>41794</v>
      </c>
      <c r="B344" s="12">
        <v>1454</v>
      </c>
      <c r="C344" s="13" t="s">
        <v>26</v>
      </c>
      <c r="D344" s="13" t="s">
        <v>30</v>
      </c>
      <c r="E344" s="13" t="s">
        <v>25</v>
      </c>
      <c r="F344" s="13">
        <v>9</v>
      </c>
      <c r="G344" s="13">
        <v>4806</v>
      </c>
      <c r="H344" s="13">
        <v>1068.6141</v>
      </c>
    </row>
    <row r="345" spans="1:8" x14ac:dyDescent="0.35">
      <c r="A345" s="11">
        <v>41795</v>
      </c>
      <c r="B345" s="12">
        <v>1455</v>
      </c>
      <c r="C345" s="13" t="s">
        <v>27</v>
      </c>
      <c r="D345" s="13" t="s">
        <v>30</v>
      </c>
      <c r="E345" s="13" t="s">
        <v>28</v>
      </c>
      <c r="F345" s="13">
        <v>9</v>
      </c>
      <c r="G345" s="13">
        <v>4716</v>
      </c>
      <c r="H345" s="13">
        <v>3319.1207999999997</v>
      </c>
    </row>
    <row r="346" spans="1:8" x14ac:dyDescent="0.35">
      <c r="A346" s="11">
        <v>41796</v>
      </c>
      <c r="B346" s="12">
        <v>1456</v>
      </c>
      <c r="C346" s="13" t="s">
        <v>23</v>
      </c>
      <c r="D346" s="13" t="s">
        <v>30</v>
      </c>
      <c r="E346" s="13" t="s">
        <v>28</v>
      </c>
      <c r="F346" s="13">
        <v>9</v>
      </c>
      <c r="G346" s="13">
        <v>11115</v>
      </c>
      <c r="H346" s="13">
        <v>2680.2710999999999</v>
      </c>
    </row>
    <row r="347" spans="1:8" x14ac:dyDescent="0.35">
      <c r="A347" s="11">
        <v>41797</v>
      </c>
      <c r="B347" s="12">
        <v>1457</v>
      </c>
      <c r="C347" s="13" t="s">
        <v>26</v>
      </c>
      <c r="D347" s="13" t="s">
        <v>30</v>
      </c>
      <c r="E347" s="13" t="s">
        <v>28</v>
      </c>
      <c r="F347" s="13">
        <v>6</v>
      </c>
      <c r="G347" s="13">
        <v>5224.5</v>
      </c>
      <c r="H347" s="13">
        <v>2312.712</v>
      </c>
    </row>
    <row r="348" spans="1:8" x14ac:dyDescent="0.35">
      <c r="A348" s="11">
        <v>41798</v>
      </c>
      <c r="B348" s="12">
        <v>1458</v>
      </c>
      <c r="C348" s="13" t="s">
        <v>27</v>
      </c>
      <c r="D348" s="13" t="s">
        <v>30</v>
      </c>
      <c r="E348" s="13" t="s">
        <v>29</v>
      </c>
      <c r="F348" s="13">
        <v>6</v>
      </c>
      <c r="G348" s="13">
        <v>4131</v>
      </c>
      <c r="H348" s="13">
        <v>2968.5365999999999</v>
      </c>
    </row>
    <row r="349" spans="1:8" x14ac:dyDescent="0.35">
      <c r="A349" s="11">
        <v>41799</v>
      </c>
      <c r="B349" s="12">
        <v>1459</v>
      </c>
      <c r="C349" s="13" t="s">
        <v>23</v>
      </c>
      <c r="D349" s="13" t="s">
        <v>30</v>
      </c>
      <c r="E349" s="13" t="s">
        <v>29</v>
      </c>
      <c r="F349" s="13">
        <v>6</v>
      </c>
      <c r="G349" s="13">
        <v>2808</v>
      </c>
      <c r="H349" s="13">
        <v>2322.2159999999994</v>
      </c>
    </row>
    <row r="350" spans="1:8" x14ac:dyDescent="0.35">
      <c r="A350" s="11">
        <v>41800</v>
      </c>
      <c r="B350" s="12">
        <v>1460</v>
      </c>
      <c r="C350" s="13" t="s">
        <v>26</v>
      </c>
      <c r="D350" s="13" t="s">
        <v>30</v>
      </c>
      <c r="E350" s="13" t="s">
        <v>29</v>
      </c>
      <c r="F350" s="13">
        <v>7</v>
      </c>
      <c r="G350" s="13">
        <v>1564.5</v>
      </c>
      <c r="H350" s="13">
        <v>2080.7849999999999</v>
      </c>
    </row>
    <row r="351" spans="1:8" x14ac:dyDescent="0.35">
      <c r="A351" s="11">
        <v>41801</v>
      </c>
      <c r="B351" s="12">
        <v>1461</v>
      </c>
      <c r="C351" s="13" t="s">
        <v>27</v>
      </c>
      <c r="D351" s="13" t="s">
        <v>30</v>
      </c>
      <c r="E351" s="13" t="s">
        <v>25</v>
      </c>
      <c r="F351" s="13">
        <v>8</v>
      </c>
      <c r="G351" s="13">
        <v>11088</v>
      </c>
      <c r="H351" s="13">
        <v>3958.4160000000002</v>
      </c>
    </row>
    <row r="352" spans="1:8" x14ac:dyDescent="0.35">
      <c r="A352" s="11">
        <v>41802</v>
      </c>
      <c r="B352" s="12">
        <v>1462</v>
      </c>
      <c r="C352" s="13" t="s">
        <v>23</v>
      </c>
      <c r="D352" s="13" t="s">
        <v>30</v>
      </c>
      <c r="E352" s="13" t="s">
        <v>25</v>
      </c>
      <c r="F352" s="13">
        <v>10</v>
      </c>
      <c r="G352" s="13">
        <v>11640</v>
      </c>
      <c r="H352" s="13">
        <v>2337.3119999999999</v>
      </c>
    </row>
    <row r="353" spans="1:8" x14ac:dyDescent="0.35">
      <c r="A353" s="11">
        <v>41803</v>
      </c>
      <c r="B353" s="12">
        <v>1463</v>
      </c>
      <c r="C353" s="13" t="s">
        <v>26</v>
      </c>
      <c r="D353" s="13" t="s">
        <v>30</v>
      </c>
      <c r="E353" s="13" t="s">
        <v>25</v>
      </c>
      <c r="F353" s="13">
        <v>6</v>
      </c>
      <c r="G353" s="13">
        <v>6804</v>
      </c>
      <c r="H353" s="13">
        <v>2270.3247000000001</v>
      </c>
    </row>
    <row r="354" spans="1:8" x14ac:dyDescent="0.35">
      <c r="A354" s="11">
        <v>41804</v>
      </c>
      <c r="B354" s="12">
        <v>1464</v>
      </c>
      <c r="C354" s="13" t="s">
        <v>27</v>
      </c>
      <c r="D354" s="13" t="s">
        <v>30</v>
      </c>
      <c r="E354" s="13" t="s">
        <v>28</v>
      </c>
      <c r="F354" s="13">
        <v>10</v>
      </c>
      <c r="G354" s="13">
        <v>7860</v>
      </c>
      <c r="H354" s="13">
        <v>1799.94</v>
      </c>
    </row>
    <row r="355" spans="1:8" x14ac:dyDescent="0.35">
      <c r="A355" s="11">
        <v>41805</v>
      </c>
      <c r="B355" s="12">
        <v>1465</v>
      </c>
      <c r="C355" s="13" t="s">
        <v>23</v>
      </c>
      <c r="D355" s="13" t="s">
        <v>30</v>
      </c>
      <c r="E355" s="13" t="s">
        <v>28</v>
      </c>
      <c r="F355" s="13">
        <v>8</v>
      </c>
      <c r="G355" s="13">
        <v>7296</v>
      </c>
      <c r="H355" s="13">
        <v>696.03840000000002</v>
      </c>
    </row>
    <row r="356" spans="1:8" x14ac:dyDescent="0.35">
      <c r="A356" s="11">
        <v>41806</v>
      </c>
      <c r="B356" s="12">
        <v>1466</v>
      </c>
      <c r="C356" s="13" t="s">
        <v>26</v>
      </c>
      <c r="D356" s="13" t="s">
        <v>30</v>
      </c>
      <c r="E356" s="13" t="s">
        <v>28</v>
      </c>
      <c r="F356" s="13">
        <v>9</v>
      </c>
      <c r="G356" s="13">
        <v>9585</v>
      </c>
      <c r="H356" s="13">
        <v>1396.3428000000001</v>
      </c>
    </row>
    <row r="357" spans="1:8" x14ac:dyDescent="0.35">
      <c r="A357" s="11">
        <v>41807</v>
      </c>
      <c r="B357" s="12">
        <v>1467</v>
      </c>
      <c r="C357" s="13" t="s">
        <v>27</v>
      </c>
      <c r="D357" s="13" t="s">
        <v>30</v>
      </c>
      <c r="E357" s="13" t="s">
        <v>29</v>
      </c>
      <c r="F357" s="13">
        <v>6</v>
      </c>
      <c r="G357" s="13">
        <v>4860</v>
      </c>
      <c r="H357" s="13">
        <v>584.17200000000003</v>
      </c>
    </row>
    <row r="358" spans="1:8" x14ac:dyDescent="0.35">
      <c r="A358" s="11">
        <v>41808</v>
      </c>
      <c r="B358" s="12">
        <v>1468</v>
      </c>
      <c r="C358" s="13" t="s">
        <v>23</v>
      </c>
      <c r="D358" s="13" t="s">
        <v>30</v>
      </c>
      <c r="E358" s="13" t="s">
        <v>29</v>
      </c>
      <c r="F358" s="13">
        <v>9</v>
      </c>
      <c r="G358" s="13">
        <v>3267</v>
      </c>
      <c r="H358" s="13">
        <v>1181.0205000000001</v>
      </c>
    </row>
    <row r="359" spans="1:8" x14ac:dyDescent="0.35">
      <c r="A359" s="11">
        <v>41809</v>
      </c>
      <c r="B359" s="12">
        <v>1469</v>
      </c>
      <c r="C359" s="13" t="s">
        <v>26</v>
      </c>
      <c r="D359" s="13" t="s">
        <v>30</v>
      </c>
      <c r="E359" s="13" t="s">
        <v>29</v>
      </c>
      <c r="F359" s="13">
        <v>8</v>
      </c>
      <c r="G359" s="13">
        <v>6984</v>
      </c>
      <c r="H359" s="13">
        <v>1797.2159999999999</v>
      </c>
    </row>
    <row r="360" spans="1:8" x14ac:dyDescent="0.35">
      <c r="A360" s="11">
        <v>41810</v>
      </c>
      <c r="B360" s="12">
        <v>1470</v>
      </c>
      <c r="C360" s="13" t="s">
        <v>27</v>
      </c>
      <c r="D360" s="13" t="s">
        <v>30</v>
      </c>
      <c r="E360" s="13" t="s">
        <v>25</v>
      </c>
      <c r="F360" s="13">
        <v>9</v>
      </c>
      <c r="G360" s="13">
        <v>1539</v>
      </c>
      <c r="H360" s="13">
        <v>3237.2865000000002</v>
      </c>
    </row>
    <row r="361" spans="1:8" x14ac:dyDescent="0.35">
      <c r="A361" s="11">
        <v>41811</v>
      </c>
      <c r="B361" s="12">
        <v>1471</v>
      </c>
      <c r="C361" s="13" t="s">
        <v>23</v>
      </c>
      <c r="D361" s="13" t="s">
        <v>30</v>
      </c>
      <c r="E361" s="13" t="s">
        <v>25</v>
      </c>
      <c r="F361" s="13">
        <v>7</v>
      </c>
      <c r="G361" s="13">
        <v>3465</v>
      </c>
      <c r="H361" s="13">
        <v>1443.1725000000001</v>
      </c>
    </row>
    <row r="362" spans="1:8" x14ac:dyDescent="0.35">
      <c r="A362" s="11">
        <v>41812</v>
      </c>
      <c r="B362" s="12">
        <v>1472</v>
      </c>
      <c r="C362" s="13" t="s">
        <v>26</v>
      </c>
      <c r="D362" s="13" t="s">
        <v>30</v>
      </c>
      <c r="E362" s="13" t="s">
        <v>25</v>
      </c>
      <c r="F362" s="13">
        <v>9</v>
      </c>
      <c r="G362" s="13">
        <v>14512.5</v>
      </c>
      <c r="H362" s="13">
        <v>2066.58</v>
      </c>
    </row>
    <row r="363" spans="1:8" x14ac:dyDescent="0.35">
      <c r="A363" s="11">
        <v>41813</v>
      </c>
      <c r="B363" s="12">
        <v>1473</v>
      </c>
      <c r="C363" s="13" t="s">
        <v>27</v>
      </c>
      <c r="D363" s="13" t="s">
        <v>30</v>
      </c>
      <c r="E363" s="13" t="s">
        <v>28</v>
      </c>
      <c r="F363" s="13">
        <v>7</v>
      </c>
      <c r="G363" s="13">
        <v>5733</v>
      </c>
      <c r="H363" s="13">
        <v>4751.2237500000001</v>
      </c>
    </row>
    <row r="364" spans="1:8" x14ac:dyDescent="0.35">
      <c r="A364" s="11">
        <v>41814</v>
      </c>
      <c r="B364" s="12">
        <v>1474</v>
      </c>
      <c r="C364" s="13" t="s">
        <v>23</v>
      </c>
      <c r="D364" s="13" t="s">
        <v>30</v>
      </c>
      <c r="E364" s="13" t="s">
        <v>28</v>
      </c>
      <c r="F364" s="13">
        <v>6</v>
      </c>
      <c r="G364" s="13">
        <v>8316</v>
      </c>
      <c r="H364" s="13">
        <v>1538.8757999999998</v>
      </c>
    </row>
    <row r="365" spans="1:8" x14ac:dyDescent="0.35">
      <c r="A365" s="11">
        <v>41815</v>
      </c>
      <c r="B365" s="12">
        <v>1475</v>
      </c>
      <c r="C365" s="13" t="s">
        <v>26</v>
      </c>
      <c r="D365" s="13" t="s">
        <v>30</v>
      </c>
      <c r="E365" s="13" t="s">
        <v>28</v>
      </c>
      <c r="F365" s="13">
        <v>9</v>
      </c>
      <c r="G365" s="13">
        <v>7938</v>
      </c>
      <c r="H365" s="13">
        <v>4969.1880000000001</v>
      </c>
    </row>
    <row r="366" spans="1:8" x14ac:dyDescent="0.35">
      <c r="A366" s="11">
        <v>41816</v>
      </c>
      <c r="B366" s="12">
        <v>1476</v>
      </c>
      <c r="C366" s="13" t="s">
        <v>27</v>
      </c>
      <c r="D366" s="13" t="s">
        <v>30</v>
      </c>
      <c r="E366" s="13" t="s">
        <v>29</v>
      </c>
      <c r="F366" s="13">
        <v>6</v>
      </c>
      <c r="G366" s="13">
        <v>6129</v>
      </c>
      <c r="H366" s="13">
        <v>2691.0396000000001</v>
      </c>
    </row>
    <row r="367" spans="1:8" x14ac:dyDescent="0.35">
      <c r="A367" s="11">
        <v>41817</v>
      </c>
      <c r="B367" s="12">
        <v>1842</v>
      </c>
      <c r="C367" s="13" t="s">
        <v>27</v>
      </c>
      <c r="D367" s="13" t="s">
        <v>30</v>
      </c>
      <c r="E367" s="13" t="s">
        <v>28</v>
      </c>
      <c r="F367" s="13">
        <v>6</v>
      </c>
      <c r="G367" s="13">
        <v>1755</v>
      </c>
      <c r="H367" s="13">
        <v>1776.9375</v>
      </c>
    </row>
    <row r="368" spans="1:8" x14ac:dyDescent="0.35">
      <c r="A368" s="11">
        <v>41818</v>
      </c>
      <c r="B368" s="12">
        <v>1477</v>
      </c>
      <c r="C368" s="13" t="s">
        <v>23</v>
      </c>
      <c r="D368" s="13" t="s">
        <v>30</v>
      </c>
      <c r="E368" s="13" t="s">
        <v>29</v>
      </c>
      <c r="F368" s="13">
        <v>6</v>
      </c>
      <c r="G368" s="13">
        <v>7956</v>
      </c>
      <c r="H368" s="13">
        <v>2942.1288</v>
      </c>
    </row>
    <row r="369" spans="1:8" x14ac:dyDescent="0.35">
      <c r="A369" s="11">
        <v>41819</v>
      </c>
      <c r="B369" s="12">
        <v>1843</v>
      </c>
      <c r="C369" s="13" t="s">
        <v>23</v>
      </c>
      <c r="D369" s="13" t="s">
        <v>30</v>
      </c>
      <c r="E369" s="13" t="s">
        <v>28</v>
      </c>
      <c r="F369" s="13">
        <v>8</v>
      </c>
      <c r="G369" s="13">
        <v>5940</v>
      </c>
      <c r="H369" s="13">
        <v>1407.78</v>
      </c>
    </row>
    <row r="370" spans="1:8" x14ac:dyDescent="0.35">
      <c r="A370" s="11">
        <v>41820</v>
      </c>
      <c r="B370" s="12">
        <v>1478</v>
      </c>
      <c r="C370" s="13" t="s">
        <v>26</v>
      </c>
      <c r="D370" s="13" t="s">
        <v>30</v>
      </c>
      <c r="E370" s="13" t="s">
        <v>29</v>
      </c>
      <c r="F370" s="13">
        <v>9</v>
      </c>
      <c r="G370" s="13">
        <v>13972.5</v>
      </c>
      <c r="H370" s="13">
        <v>4783.0661999999993</v>
      </c>
    </row>
    <row r="371" spans="1:8" x14ac:dyDescent="0.35">
      <c r="A371" s="11">
        <v>41821</v>
      </c>
      <c r="B371" s="12">
        <v>1844</v>
      </c>
      <c r="C371" s="13" t="s">
        <v>26</v>
      </c>
      <c r="D371" s="13" t="s">
        <v>30</v>
      </c>
      <c r="E371" s="13" t="s">
        <v>28</v>
      </c>
      <c r="F371" s="13">
        <v>6</v>
      </c>
      <c r="G371" s="13">
        <v>6300</v>
      </c>
      <c r="H371" s="13">
        <v>1132.425</v>
      </c>
    </row>
    <row r="372" spans="1:8" x14ac:dyDescent="0.35">
      <c r="A372" s="11">
        <v>41822</v>
      </c>
      <c r="B372" s="12">
        <v>1479</v>
      </c>
      <c r="C372" s="13" t="s">
        <v>27</v>
      </c>
      <c r="D372" s="13" t="s">
        <v>30</v>
      </c>
      <c r="E372" s="13" t="s">
        <v>25</v>
      </c>
      <c r="F372" s="13">
        <v>8</v>
      </c>
      <c r="G372" s="13">
        <v>6096</v>
      </c>
      <c r="H372" s="13">
        <v>722.98559999999998</v>
      </c>
    </row>
    <row r="373" spans="1:8" x14ac:dyDescent="0.35">
      <c r="A373" s="11">
        <v>41823</v>
      </c>
      <c r="B373" s="12">
        <v>1845</v>
      </c>
      <c r="C373" s="13" t="s">
        <v>27</v>
      </c>
      <c r="D373" s="13" t="s">
        <v>30</v>
      </c>
      <c r="E373" s="13" t="s">
        <v>29</v>
      </c>
      <c r="F373" s="13">
        <v>9</v>
      </c>
      <c r="G373" s="13">
        <v>2045.25</v>
      </c>
      <c r="H373" s="13">
        <v>1783.8670499999998</v>
      </c>
    </row>
    <row r="374" spans="1:8" x14ac:dyDescent="0.35">
      <c r="A374" s="11">
        <v>41824</v>
      </c>
      <c r="B374" s="12">
        <v>1480</v>
      </c>
      <c r="C374" s="13" t="s">
        <v>23</v>
      </c>
      <c r="D374" s="13" t="s">
        <v>30</v>
      </c>
      <c r="E374" s="13" t="s">
        <v>25</v>
      </c>
      <c r="F374" s="13">
        <v>8</v>
      </c>
      <c r="G374" s="13">
        <v>5436</v>
      </c>
      <c r="H374" s="13">
        <v>733.13519999999994</v>
      </c>
    </row>
    <row r="375" spans="1:8" x14ac:dyDescent="0.35">
      <c r="A375" s="11">
        <v>41825</v>
      </c>
      <c r="B375" s="12">
        <v>1848</v>
      </c>
      <c r="C375" s="13" t="s">
        <v>27</v>
      </c>
      <c r="D375" s="13" t="s">
        <v>30</v>
      </c>
      <c r="E375" s="13" t="s">
        <v>25</v>
      </c>
      <c r="F375" s="13">
        <v>10</v>
      </c>
      <c r="G375" s="13">
        <v>8880</v>
      </c>
      <c r="H375" s="13">
        <v>1985.124</v>
      </c>
    </row>
    <row r="376" spans="1:8" x14ac:dyDescent="0.35">
      <c r="A376" s="11">
        <v>41826</v>
      </c>
      <c r="B376" s="12">
        <v>1849</v>
      </c>
      <c r="C376" s="13" t="s">
        <v>23</v>
      </c>
      <c r="D376" s="13" t="s">
        <v>30</v>
      </c>
      <c r="E376" s="13" t="s">
        <v>25</v>
      </c>
      <c r="F376" s="13">
        <v>6</v>
      </c>
      <c r="G376" s="13">
        <v>5328</v>
      </c>
      <c r="H376" s="13">
        <v>2967.4295999999999</v>
      </c>
    </row>
    <row r="377" spans="1:8" x14ac:dyDescent="0.35">
      <c r="A377" s="11">
        <v>41827</v>
      </c>
      <c r="B377" s="12">
        <v>1850</v>
      </c>
      <c r="C377" s="13" t="s">
        <v>26</v>
      </c>
      <c r="D377" s="13" t="s">
        <v>30</v>
      </c>
      <c r="E377" s="13" t="s">
        <v>25</v>
      </c>
      <c r="F377" s="13">
        <v>7</v>
      </c>
      <c r="G377" s="13">
        <v>9345</v>
      </c>
      <c r="H377" s="13">
        <v>1182.7031999999999</v>
      </c>
    </row>
    <row r="378" spans="1:8" x14ac:dyDescent="0.35">
      <c r="A378" s="11">
        <v>41828</v>
      </c>
      <c r="B378" s="12">
        <v>1851</v>
      </c>
      <c r="C378" s="13" t="s">
        <v>27</v>
      </c>
      <c r="D378" s="13" t="s">
        <v>30</v>
      </c>
      <c r="E378" s="13" t="s">
        <v>28</v>
      </c>
      <c r="F378" s="13">
        <v>10</v>
      </c>
      <c r="G378" s="13">
        <v>11925</v>
      </c>
      <c r="H378" s="13">
        <v>2509.9740000000002</v>
      </c>
    </row>
    <row r="379" spans="1:8" x14ac:dyDescent="0.35">
      <c r="A379" s="11">
        <v>41829</v>
      </c>
      <c r="B379" s="12">
        <v>1852</v>
      </c>
      <c r="C379" s="13" t="s">
        <v>23</v>
      </c>
      <c r="D379" s="13" t="s">
        <v>30</v>
      </c>
      <c r="E379" s="13" t="s">
        <v>28</v>
      </c>
      <c r="F379" s="13">
        <v>9</v>
      </c>
      <c r="G379" s="13">
        <v>8505</v>
      </c>
      <c r="H379" s="13">
        <v>1404.1754999999998</v>
      </c>
    </row>
    <row r="380" spans="1:8" x14ac:dyDescent="0.35">
      <c r="A380" s="11">
        <v>40909</v>
      </c>
      <c r="B380" s="12">
        <v>1853</v>
      </c>
      <c r="C380" s="13" t="s">
        <v>26</v>
      </c>
      <c r="D380" s="13" t="s">
        <v>31</v>
      </c>
      <c r="E380" s="13" t="s">
        <v>28</v>
      </c>
      <c r="F380" s="13">
        <v>6</v>
      </c>
      <c r="G380" s="13">
        <v>2200.5</v>
      </c>
      <c r="H380" s="13">
        <v>1727.8326000000002</v>
      </c>
    </row>
    <row r="381" spans="1:8" x14ac:dyDescent="0.35">
      <c r="A381" s="11">
        <v>40910</v>
      </c>
      <c r="B381" s="12">
        <v>1488</v>
      </c>
      <c r="C381" s="13" t="s">
        <v>27</v>
      </c>
      <c r="D381" s="13" t="s">
        <v>31</v>
      </c>
      <c r="E381" s="13" t="s">
        <v>25</v>
      </c>
      <c r="F381" s="13">
        <v>6</v>
      </c>
      <c r="G381" s="13">
        <v>3888</v>
      </c>
      <c r="H381" s="13">
        <v>850.88879999999995</v>
      </c>
    </row>
    <row r="382" spans="1:8" x14ac:dyDescent="0.35">
      <c r="A382" s="11">
        <v>40911</v>
      </c>
      <c r="B382" s="12">
        <v>1854</v>
      </c>
      <c r="C382" s="13" t="s">
        <v>27</v>
      </c>
      <c r="D382" s="13" t="s">
        <v>31</v>
      </c>
      <c r="E382" s="13" t="s">
        <v>29</v>
      </c>
      <c r="F382" s="13">
        <v>7</v>
      </c>
      <c r="G382" s="13">
        <v>5985</v>
      </c>
      <c r="H382" s="13">
        <v>3432.3975</v>
      </c>
    </row>
    <row r="383" spans="1:8" x14ac:dyDescent="0.35">
      <c r="A383" s="11">
        <v>40913</v>
      </c>
      <c r="B383" s="12">
        <v>1489</v>
      </c>
      <c r="C383" s="13" t="s">
        <v>23</v>
      </c>
      <c r="D383" s="13" t="s">
        <v>31</v>
      </c>
      <c r="E383" s="13" t="s">
        <v>25</v>
      </c>
      <c r="F383" s="13">
        <v>9</v>
      </c>
      <c r="G383" s="13">
        <v>7047</v>
      </c>
      <c r="H383" s="13">
        <v>984.46589999999992</v>
      </c>
    </row>
    <row r="384" spans="1:8" x14ac:dyDescent="0.35">
      <c r="A384" s="11">
        <v>40914</v>
      </c>
      <c r="B384" s="12">
        <v>1855</v>
      </c>
      <c r="C384" s="13" t="s">
        <v>23</v>
      </c>
      <c r="D384" s="13" t="s">
        <v>31</v>
      </c>
      <c r="E384" s="13" t="s">
        <v>29</v>
      </c>
      <c r="F384" s="13">
        <v>7</v>
      </c>
      <c r="G384" s="13">
        <v>5575.5</v>
      </c>
      <c r="H384" s="13">
        <v>737.63864999999987</v>
      </c>
    </row>
    <row r="385" spans="1:8" x14ac:dyDescent="0.35">
      <c r="A385" s="11">
        <v>40915</v>
      </c>
      <c r="B385" s="12">
        <v>1490</v>
      </c>
      <c r="C385" s="13" t="s">
        <v>26</v>
      </c>
      <c r="D385" s="13" t="s">
        <v>31</v>
      </c>
      <c r="E385" s="13" t="s">
        <v>25</v>
      </c>
      <c r="F385" s="13">
        <v>9</v>
      </c>
      <c r="G385" s="13">
        <v>8221.5</v>
      </c>
      <c r="H385" s="13">
        <v>2759.9575500000001</v>
      </c>
    </row>
    <row r="386" spans="1:8" x14ac:dyDescent="0.35">
      <c r="A386" s="11">
        <v>40916</v>
      </c>
      <c r="B386" s="12">
        <v>1856</v>
      </c>
      <c r="C386" s="13" t="s">
        <v>26</v>
      </c>
      <c r="D386" s="13" t="s">
        <v>31</v>
      </c>
      <c r="E386" s="13" t="s">
        <v>29</v>
      </c>
      <c r="F386" s="13">
        <v>7</v>
      </c>
      <c r="G386" s="13">
        <v>5071.5</v>
      </c>
      <c r="H386" s="13">
        <v>3292.2487499999997</v>
      </c>
    </row>
    <row r="387" spans="1:8" x14ac:dyDescent="0.35">
      <c r="A387" s="11">
        <v>40917</v>
      </c>
      <c r="B387" s="12">
        <v>1491</v>
      </c>
      <c r="C387" s="13" t="s">
        <v>27</v>
      </c>
      <c r="D387" s="13" t="s">
        <v>31</v>
      </c>
      <c r="E387" s="13" t="s">
        <v>28</v>
      </c>
      <c r="F387" s="13">
        <v>10</v>
      </c>
      <c r="G387" s="13">
        <v>7200</v>
      </c>
      <c r="H387" s="13">
        <v>702.90000000000009</v>
      </c>
    </row>
    <row r="388" spans="1:8" x14ac:dyDescent="0.35">
      <c r="A388" s="11">
        <v>40918</v>
      </c>
      <c r="B388" s="12">
        <v>1857</v>
      </c>
      <c r="C388" s="13" t="s">
        <v>27</v>
      </c>
      <c r="D388" s="13" t="s">
        <v>31</v>
      </c>
      <c r="E388" s="13" t="s">
        <v>25</v>
      </c>
      <c r="F388" s="13">
        <v>6</v>
      </c>
      <c r="G388" s="13">
        <v>7074</v>
      </c>
      <c r="H388" s="13">
        <v>1647.7703999999999</v>
      </c>
    </row>
    <row r="389" spans="1:8" x14ac:dyDescent="0.35">
      <c r="A389" s="11">
        <v>40919</v>
      </c>
      <c r="B389" s="12">
        <v>1492</v>
      </c>
      <c r="C389" s="13" t="s">
        <v>23</v>
      </c>
      <c r="D389" s="13" t="s">
        <v>31</v>
      </c>
      <c r="E389" s="13" t="s">
        <v>28</v>
      </c>
      <c r="F389" s="13">
        <v>9</v>
      </c>
      <c r="G389" s="13">
        <v>5220</v>
      </c>
      <c r="H389" s="13">
        <v>1927.2239999999999</v>
      </c>
    </row>
    <row r="390" spans="1:8" x14ac:dyDescent="0.35">
      <c r="A390" s="11">
        <v>40920</v>
      </c>
      <c r="B390" s="12">
        <v>1858</v>
      </c>
      <c r="C390" s="13" t="s">
        <v>23</v>
      </c>
      <c r="D390" s="13" t="s">
        <v>31</v>
      </c>
      <c r="E390" s="13" t="s">
        <v>25</v>
      </c>
      <c r="F390" s="13">
        <v>9</v>
      </c>
      <c r="G390" s="13">
        <v>13050</v>
      </c>
      <c r="H390" s="13">
        <v>5495.3549999999996</v>
      </c>
    </row>
    <row r="391" spans="1:8" x14ac:dyDescent="0.35">
      <c r="A391" s="11">
        <v>40921</v>
      </c>
      <c r="B391" s="12">
        <v>1493</v>
      </c>
      <c r="C391" s="13" t="s">
        <v>26</v>
      </c>
      <c r="D391" s="13" t="s">
        <v>31</v>
      </c>
      <c r="E391" s="13" t="s">
        <v>28</v>
      </c>
      <c r="F391" s="13">
        <v>8</v>
      </c>
      <c r="G391" s="13">
        <v>8388</v>
      </c>
      <c r="H391" s="13">
        <v>1038.4344000000001</v>
      </c>
    </row>
    <row r="392" spans="1:8" x14ac:dyDescent="0.35">
      <c r="A392" s="11">
        <v>40922</v>
      </c>
      <c r="B392" s="12">
        <v>1859</v>
      </c>
      <c r="C392" s="13" t="s">
        <v>26</v>
      </c>
      <c r="D392" s="13" t="s">
        <v>31</v>
      </c>
      <c r="E392" s="13" t="s">
        <v>25</v>
      </c>
      <c r="F392" s="13">
        <v>7</v>
      </c>
      <c r="G392" s="13">
        <v>9240</v>
      </c>
      <c r="H392" s="13">
        <v>987.2940000000001</v>
      </c>
    </row>
    <row r="393" spans="1:8" x14ac:dyDescent="0.35">
      <c r="A393" s="11">
        <v>40923</v>
      </c>
      <c r="B393" s="12">
        <v>1494</v>
      </c>
      <c r="C393" s="13" t="s">
        <v>27</v>
      </c>
      <c r="D393" s="13" t="s">
        <v>31</v>
      </c>
      <c r="E393" s="13" t="s">
        <v>29</v>
      </c>
      <c r="F393" s="13">
        <v>6</v>
      </c>
      <c r="G393" s="13">
        <v>1989</v>
      </c>
      <c r="H393" s="13">
        <v>1436.8536000000001</v>
      </c>
    </row>
    <row r="394" spans="1:8" x14ac:dyDescent="0.35">
      <c r="A394" s="11">
        <v>40924</v>
      </c>
      <c r="B394" s="12">
        <v>1860</v>
      </c>
      <c r="C394" s="13" t="s">
        <v>27</v>
      </c>
      <c r="D394" s="13" t="s">
        <v>31</v>
      </c>
      <c r="E394" s="13" t="s">
        <v>28</v>
      </c>
      <c r="F394" s="13">
        <v>8</v>
      </c>
      <c r="G394" s="13">
        <v>2436</v>
      </c>
      <c r="H394" s="13">
        <v>3756.3119999999999</v>
      </c>
    </row>
    <row r="395" spans="1:8" x14ac:dyDescent="0.35">
      <c r="A395" s="11">
        <v>40925</v>
      </c>
      <c r="B395" s="12">
        <v>1495</v>
      </c>
      <c r="C395" s="13" t="s">
        <v>23</v>
      </c>
      <c r="D395" s="13" t="s">
        <v>31</v>
      </c>
      <c r="E395" s="13" t="s">
        <v>29</v>
      </c>
      <c r="F395" s="13">
        <v>9</v>
      </c>
      <c r="G395" s="13">
        <v>8221.5</v>
      </c>
      <c r="H395" s="13">
        <v>2519.8897500000003</v>
      </c>
    </row>
    <row r="396" spans="1:8" x14ac:dyDescent="0.35">
      <c r="A396" s="11">
        <v>40926</v>
      </c>
      <c r="B396" s="12">
        <v>1861</v>
      </c>
      <c r="C396" s="13" t="s">
        <v>23</v>
      </c>
      <c r="D396" s="13" t="s">
        <v>31</v>
      </c>
      <c r="E396" s="13" t="s">
        <v>28</v>
      </c>
      <c r="F396" s="13">
        <v>8</v>
      </c>
      <c r="G396" s="13">
        <v>6048</v>
      </c>
      <c r="H396" s="13">
        <v>2732.1839999999997</v>
      </c>
    </row>
    <row r="397" spans="1:8" x14ac:dyDescent="0.35">
      <c r="A397" s="11">
        <v>40927</v>
      </c>
      <c r="B397" s="12">
        <v>1496</v>
      </c>
      <c r="C397" s="13" t="s">
        <v>26</v>
      </c>
      <c r="D397" s="13" t="s">
        <v>31</v>
      </c>
      <c r="E397" s="13" t="s">
        <v>29</v>
      </c>
      <c r="F397" s="13">
        <v>7</v>
      </c>
      <c r="G397" s="13">
        <v>2037</v>
      </c>
      <c r="H397" s="13">
        <v>1801.1154000000001</v>
      </c>
    </row>
    <row r="398" spans="1:8" x14ac:dyDescent="0.35">
      <c r="A398" s="11">
        <v>40928</v>
      </c>
      <c r="B398" s="12">
        <v>1862</v>
      </c>
      <c r="C398" s="13" t="s">
        <v>26</v>
      </c>
      <c r="D398" s="13" t="s">
        <v>31</v>
      </c>
      <c r="E398" s="13" t="s">
        <v>28</v>
      </c>
      <c r="F398" s="13">
        <v>7</v>
      </c>
      <c r="G398" s="13">
        <v>2394</v>
      </c>
      <c r="H398" s="13">
        <v>3850.7489999999998</v>
      </c>
    </row>
    <row r="399" spans="1:8" x14ac:dyDescent="0.35">
      <c r="A399" s="11">
        <v>40929</v>
      </c>
      <c r="B399" s="12">
        <v>1497</v>
      </c>
      <c r="C399" s="13" t="s">
        <v>27</v>
      </c>
      <c r="D399" s="13" t="s">
        <v>31</v>
      </c>
      <c r="E399" s="13" t="s">
        <v>25</v>
      </c>
      <c r="F399" s="13">
        <v>9</v>
      </c>
      <c r="G399" s="13">
        <v>10044</v>
      </c>
      <c r="H399" s="13">
        <v>2253.3714</v>
      </c>
    </row>
    <row r="400" spans="1:8" x14ac:dyDescent="0.35">
      <c r="A400" s="11">
        <v>40930</v>
      </c>
      <c r="B400" s="12">
        <v>1863</v>
      </c>
      <c r="C400" s="13" t="s">
        <v>27</v>
      </c>
      <c r="D400" s="13" t="s">
        <v>31</v>
      </c>
      <c r="E400" s="13" t="s">
        <v>29</v>
      </c>
      <c r="F400" s="13">
        <v>7</v>
      </c>
      <c r="G400" s="13">
        <v>2614.5</v>
      </c>
      <c r="H400" s="13">
        <v>1091.8152</v>
      </c>
    </row>
    <row r="401" spans="1:8" x14ac:dyDescent="0.35">
      <c r="A401" s="11">
        <v>40931</v>
      </c>
      <c r="B401" s="12">
        <v>1498</v>
      </c>
      <c r="C401" s="13" t="s">
        <v>23</v>
      </c>
      <c r="D401" s="13" t="s">
        <v>31</v>
      </c>
      <c r="E401" s="13" t="s">
        <v>25</v>
      </c>
      <c r="F401" s="13">
        <v>6</v>
      </c>
      <c r="G401" s="13">
        <v>5062.5</v>
      </c>
      <c r="H401" s="13">
        <v>1708.5937500000005</v>
      </c>
    </row>
    <row r="402" spans="1:8" x14ac:dyDescent="0.35">
      <c r="A402" s="11">
        <v>40932</v>
      </c>
      <c r="B402" s="12">
        <v>1864</v>
      </c>
      <c r="C402" s="13" t="s">
        <v>23</v>
      </c>
      <c r="D402" s="13" t="s">
        <v>31</v>
      </c>
      <c r="E402" s="13" t="s">
        <v>29</v>
      </c>
      <c r="F402" s="13">
        <v>8</v>
      </c>
      <c r="G402" s="13">
        <v>2052</v>
      </c>
      <c r="H402" s="13">
        <v>2596.1904000000004</v>
      </c>
    </row>
    <row r="403" spans="1:8" x14ac:dyDescent="0.35">
      <c r="A403" s="11">
        <v>40933</v>
      </c>
      <c r="B403" s="12">
        <v>1499</v>
      </c>
      <c r="C403" s="13" t="s">
        <v>26</v>
      </c>
      <c r="D403" s="13" t="s">
        <v>31</v>
      </c>
      <c r="E403" s="13" t="s">
        <v>25</v>
      </c>
      <c r="F403" s="13">
        <v>10</v>
      </c>
      <c r="G403" s="13">
        <v>1755</v>
      </c>
      <c r="H403" s="13">
        <v>2730.7799999999997</v>
      </c>
    </row>
    <row r="404" spans="1:8" x14ac:dyDescent="0.35">
      <c r="A404" s="11">
        <v>40934</v>
      </c>
      <c r="B404" s="12">
        <v>1865</v>
      </c>
      <c r="C404" s="13" t="s">
        <v>26</v>
      </c>
      <c r="D404" s="13" t="s">
        <v>31</v>
      </c>
      <c r="E404" s="13" t="s">
        <v>29</v>
      </c>
      <c r="F404" s="13">
        <v>8</v>
      </c>
      <c r="G404" s="13">
        <v>4496</v>
      </c>
      <c r="H404" s="13">
        <v>4094.732</v>
      </c>
    </row>
    <row r="405" spans="1:8" x14ac:dyDescent="0.35">
      <c r="A405" s="11">
        <v>40935</v>
      </c>
      <c r="B405" s="12">
        <v>1500</v>
      </c>
      <c r="C405" s="13" t="s">
        <v>27</v>
      </c>
      <c r="D405" s="13" t="s">
        <v>31</v>
      </c>
      <c r="E405" s="13" t="s">
        <v>28</v>
      </c>
      <c r="F405" s="13">
        <v>9</v>
      </c>
      <c r="G405" s="13">
        <v>2929.5</v>
      </c>
      <c r="H405" s="13">
        <v>1156.2736500000001</v>
      </c>
    </row>
    <row r="406" spans="1:8" x14ac:dyDescent="0.35">
      <c r="A406" s="11">
        <v>40936</v>
      </c>
      <c r="B406" s="12">
        <v>1866</v>
      </c>
      <c r="C406" s="13" t="s">
        <v>27</v>
      </c>
      <c r="D406" s="13" t="s">
        <v>31</v>
      </c>
      <c r="E406" s="13" t="s">
        <v>25</v>
      </c>
      <c r="F406" s="13">
        <v>10</v>
      </c>
      <c r="G406" s="13">
        <v>14550</v>
      </c>
      <c r="H406" s="13">
        <v>3127.9589999999998</v>
      </c>
    </row>
    <row r="407" spans="1:8" x14ac:dyDescent="0.35">
      <c r="A407" s="11">
        <v>40937</v>
      </c>
      <c r="B407" s="12">
        <v>1501</v>
      </c>
      <c r="C407" s="13" t="s">
        <v>23</v>
      </c>
      <c r="D407" s="13" t="s">
        <v>31</v>
      </c>
      <c r="E407" s="13" t="s">
        <v>28</v>
      </c>
      <c r="F407" s="13">
        <v>7</v>
      </c>
      <c r="G407" s="13">
        <v>4158</v>
      </c>
      <c r="H407" s="13">
        <v>2585.8602000000001</v>
      </c>
    </row>
    <row r="408" spans="1:8" x14ac:dyDescent="0.35">
      <c r="A408" s="11">
        <v>40938</v>
      </c>
      <c r="B408" s="12">
        <v>1867</v>
      </c>
      <c r="C408" s="13" t="s">
        <v>23</v>
      </c>
      <c r="D408" s="13" t="s">
        <v>31</v>
      </c>
      <c r="E408" s="13" t="s">
        <v>25</v>
      </c>
      <c r="F408" s="13">
        <v>8</v>
      </c>
      <c r="G408" s="13">
        <v>10440</v>
      </c>
      <c r="H408" s="13">
        <v>3660.2640000000001</v>
      </c>
    </row>
    <row r="409" spans="1:8" x14ac:dyDescent="0.35">
      <c r="A409" s="11">
        <v>40939</v>
      </c>
      <c r="B409" s="12">
        <v>1502</v>
      </c>
      <c r="C409" s="13" t="s">
        <v>26</v>
      </c>
      <c r="D409" s="13" t="s">
        <v>31</v>
      </c>
      <c r="E409" s="13" t="s">
        <v>28</v>
      </c>
      <c r="F409" s="13">
        <v>6</v>
      </c>
      <c r="G409" s="13">
        <v>6561</v>
      </c>
      <c r="H409" s="13">
        <v>3494.8260000000005</v>
      </c>
    </row>
    <row r="410" spans="1:8" x14ac:dyDescent="0.35">
      <c r="A410" s="11">
        <v>40940</v>
      </c>
      <c r="B410" s="12">
        <v>1868</v>
      </c>
      <c r="C410" s="13" t="s">
        <v>26</v>
      </c>
      <c r="D410" s="13" t="s">
        <v>31</v>
      </c>
      <c r="E410" s="13" t="s">
        <v>25</v>
      </c>
      <c r="F410" s="13">
        <v>8</v>
      </c>
      <c r="G410" s="13">
        <v>8496</v>
      </c>
      <c r="H410" s="13">
        <v>4378.6259999999993</v>
      </c>
    </row>
    <row r="411" spans="1:8" x14ac:dyDescent="0.35">
      <c r="A411" s="11">
        <v>40941</v>
      </c>
      <c r="B411" s="12">
        <v>1503</v>
      </c>
      <c r="C411" s="13" t="s">
        <v>27</v>
      </c>
      <c r="D411" s="13" t="s">
        <v>31</v>
      </c>
      <c r="E411" s="13" t="s">
        <v>29</v>
      </c>
      <c r="F411" s="13">
        <v>7</v>
      </c>
      <c r="G411" s="13">
        <v>4515</v>
      </c>
      <c r="H411" s="13">
        <v>786.06150000000002</v>
      </c>
    </row>
    <row r="412" spans="1:8" x14ac:dyDescent="0.35">
      <c r="A412" s="11">
        <v>40942</v>
      </c>
      <c r="B412" s="12">
        <v>1869</v>
      </c>
      <c r="C412" s="13" t="s">
        <v>27</v>
      </c>
      <c r="D412" s="13" t="s">
        <v>31</v>
      </c>
      <c r="E412" s="13" t="s">
        <v>28</v>
      </c>
      <c r="F412" s="13">
        <v>9</v>
      </c>
      <c r="G412" s="13">
        <v>5143.5</v>
      </c>
      <c r="H412" s="13">
        <v>733.80600000000004</v>
      </c>
    </row>
    <row r="413" spans="1:8" x14ac:dyDescent="0.35">
      <c r="A413" s="11">
        <v>40943</v>
      </c>
      <c r="B413" s="12">
        <v>1504</v>
      </c>
      <c r="C413" s="13" t="s">
        <v>23</v>
      </c>
      <c r="D413" s="13" t="s">
        <v>31</v>
      </c>
      <c r="E413" s="13" t="s">
        <v>29</v>
      </c>
      <c r="F413" s="13">
        <v>9</v>
      </c>
      <c r="G413" s="13">
        <v>12195</v>
      </c>
      <c r="H413" s="13">
        <v>3248.0163000000002</v>
      </c>
    </row>
    <row r="414" spans="1:8" x14ac:dyDescent="0.35">
      <c r="A414" s="11">
        <v>40944</v>
      </c>
      <c r="B414" s="12">
        <v>1870</v>
      </c>
      <c r="C414" s="13" t="s">
        <v>23</v>
      </c>
      <c r="D414" s="13" t="s">
        <v>31</v>
      </c>
      <c r="E414" s="13" t="s">
        <v>28</v>
      </c>
      <c r="F414" s="13">
        <v>10</v>
      </c>
      <c r="G414" s="13">
        <v>10560</v>
      </c>
      <c r="H414" s="13">
        <v>5089.92</v>
      </c>
    </row>
    <row r="415" spans="1:8" x14ac:dyDescent="0.35">
      <c r="A415" s="11">
        <v>40945</v>
      </c>
      <c r="B415" s="12">
        <v>1505</v>
      </c>
      <c r="C415" s="13" t="s">
        <v>26</v>
      </c>
      <c r="D415" s="13" t="s">
        <v>31</v>
      </c>
      <c r="E415" s="13" t="s">
        <v>29</v>
      </c>
      <c r="F415" s="13">
        <v>9</v>
      </c>
      <c r="G415" s="13">
        <v>11475</v>
      </c>
      <c r="H415" s="13">
        <v>1964.0609999999999</v>
      </c>
    </row>
    <row r="416" spans="1:8" x14ac:dyDescent="0.35">
      <c r="A416" s="11">
        <v>40946</v>
      </c>
      <c r="B416" s="12">
        <v>1871</v>
      </c>
      <c r="C416" s="13" t="s">
        <v>26</v>
      </c>
      <c r="D416" s="13" t="s">
        <v>31</v>
      </c>
      <c r="E416" s="13" t="s">
        <v>28</v>
      </c>
      <c r="F416" s="13">
        <v>9</v>
      </c>
      <c r="G416" s="13">
        <v>2146.5</v>
      </c>
      <c r="H416" s="13">
        <v>4819.9657500000003</v>
      </c>
    </row>
    <row r="417" spans="1:8" x14ac:dyDescent="0.35">
      <c r="A417" s="11">
        <v>40947</v>
      </c>
      <c r="B417" s="12">
        <v>1506</v>
      </c>
      <c r="C417" s="13" t="s">
        <v>27</v>
      </c>
      <c r="D417" s="13" t="s">
        <v>31</v>
      </c>
      <c r="E417" s="13" t="s">
        <v>25</v>
      </c>
      <c r="F417" s="13">
        <v>7</v>
      </c>
      <c r="G417" s="13">
        <v>7014</v>
      </c>
      <c r="H417" s="13">
        <v>2304.8004000000001</v>
      </c>
    </row>
    <row r="418" spans="1:8" x14ac:dyDescent="0.35">
      <c r="A418" s="11">
        <v>40948</v>
      </c>
      <c r="B418" s="12">
        <v>1872</v>
      </c>
      <c r="C418" s="13" t="s">
        <v>27</v>
      </c>
      <c r="D418" s="13" t="s">
        <v>31</v>
      </c>
      <c r="E418" s="13" t="s">
        <v>29</v>
      </c>
      <c r="F418" s="13">
        <v>7</v>
      </c>
      <c r="G418" s="13">
        <v>5386.5</v>
      </c>
      <c r="H418" s="13">
        <v>3228.3090000000002</v>
      </c>
    </row>
    <row r="419" spans="1:8" x14ac:dyDescent="0.35">
      <c r="A419" s="11">
        <v>40949</v>
      </c>
      <c r="B419" s="12">
        <v>1507</v>
      </c>
      <c r="C419" s="13" t="s">
        <v>23</v>
      </c>
      <c r="D419" s="13" t="s">
        <v>31</v>
      </c>
      <c r="E419" s="13" t="s">
        <v>25</v>
      </c>
      <c r="F419" s="13">
        <v>9</v>
      </c>
      <c r="G419" s="13">
        <v>1809</v>
      </c>
      <c r="H419" s="13">
        <v>672.22439999999995</v>
      </c>
    </row>
    <row r="420" spans="1:8" x14ac:dyDescent="0.35">
      <c r="A420" s="11">
        <v>40950</v>
      </c>
      <c r="B420" s="12">
        <v>1873</v>
      </c>
      <c r="C420" s="13" t="s">
        <v>23</v>
      </c>
      <c r="D420" s="13" t="s">
        <v>31</v>
      </c>
      <c r="E420" s="13" t="s">
        <v>29</v>
      </c>
      <c r="F420" s="13">
        <v>6</v>
      </c>
      <c r="G420" s="13">
        <v>7344</v>
      </c>
      <c r="H420" s="13">
        <v>1633.7952</v>
      </c>
    </row>
    <row r="421" spans="1:8" x14ac:dyDescent="0.35">
      <c r="A421" s="11">
        <v>40951</v>
      </c>
      <c r="B421" s="12">
        <v>1508</v>
      </c>
      <c r="C421" s="13" t="s">
        <v>26</v>
      </c>
      <c r="D421" s="13" t="s">
        <v>31</v>
      </c>
      <c r="E421" s="13" t="s">
        <v>25</v>
      </c>
      <c r="F421" s="13">
        <v>7</v>
      </c>
      <c r="G421" s="13">
        <v>8426.25</v>
      </c>
      <c r="H421" s="13">
        <v>1156.0815000000002</v>
      </c>
    </row>
    <row r="422" spans="1:8" x14ac:dyDescent="0.35">
      <c r="A422" s="11">
        <v>40952</v>
      </c>
      <c r="B422" s="12">
        <v>1874</v>
      </c>
      <c r="C422" s="13" t="s">
        <v>26</v>
      </c>
      <c r="D422" s="13" t="s">
        <v>31</v>
      </c>
      <c r="E422" s="13" t="s">
        <v>29</v>
      </c>
      <c r="F422" s="13">
        <v>6</v>
      </c>
      <c r="G422" s="13">
        <v>7533</v>
      </c>
      <c r="H422" s="13">
        <v>4375.4174999999996</v>
      </c>
    </row>
    <row r="423" spans="1:8" x14ac:dyDescent="0.35">
      <c r="A423" s="11">
        <v>40953</v>
      </c>
      <c r="B423" s="12">
        <v>1509</v>
      </c>
      <c r="C423" s="13" t="s">
        <v>27</v>
      </c>
      <c r="D423" s="13" t="s">
        <v>31</v>
      </c>
      <c r="E423" s="13" t="s">
        <v>28</v>
      </c>
      <c r="F423" s="13">
        <v>9</v>
      </c>
      <c r="G423" s="13">
        <v>7695</v>
      </c>
      <c r="H423" s="13">
        <v>1579.0140000000001</v>
      </c>
    </row>
    <row r="424" spans="1:8" x14ac:dyDescent="0.35">
      <c r="A424" s="11">
        <v>40954</v>
      </c>
      <c r="B424" s="12">
        <v>1510</v>
      </c>
      <c r="C424" s="13" t="s">
        <v>23</v>
      </c>
      <c r="D424" s="13" t="s">
        <v>31</v>
      </c>
      <c r="E424" s="13" t="s">
        <v>28</v>
      </c>
      <c r="F424" s="13">
        <v>9</v>
      </c>
      <c r="G424" s="13">
        <v>5886</v>
      </c>
      <c r="H424" s="13">
        <v>2674.3041000000003</v>
      </c>
    </row>
    <row r="425" spans="1:8" x14ac:dyDescent="0.35">
      <c r="A425" s="11">
        <v>40955</v>
      </c>
      <c r="B425" s="12">
        <v>1511</v>
      </c>
      <c r="C425" s="13" t="s">
        <v>26</v>
      </c>
      <c r="D425" s="13" t="s">
        <v>31</v>
      </c>
      <c r="E425" s="13" t="s">
        <v>28</v>
      </c>
      <c r="F425" s="13">
        <v>7</v>
      </c>
      <c r="G425" s="13">
        <v>9345</v>
      </c>
      <c r="H425" s="13">
        <v>3895.9304999999999</v>
      </c>
    </row>
    <row r="426" spans="1:8" x14ac:dyDescent="0.35">
      <c r="A426" s="11">
        <v>40956</v>
      </c>
      <c r="B426" s="12">
        <v>1512</v>
      </c>
      <c r="C426" s="13" t="s">
        <v>27</v>
      </c>
      <c r="D426" s="13" t="s">
        <v>31</v>
      </c>
      <c r="E426" s="13" t="s">
        <v>29</v>
      </c>
      <c r="F426" s="13">
        <v>8</v>
      </c>
      <c r="G426" s="13">
        <v>8256</v>
      </c>
      <c r="H426" s="13">
        <v>3389.0880000000006</v>
      </c>
    </row>
    <row r="427" spans="1:8" x14ac:dyDescent="0.35">
      <c r="A427" s="11">
        <v>40957</v>
      </c>
      <c r="B427" s="12">
        <v>1513</v>
      </c>
      <c r="C427" s="13" t="s">
        <v>23</v>
      </c>
      <c r="D427" s="13" t="s">
        <v>31</v>
      </c>
      <c r="E427" s="13" t="s">
        <v>29</v>
      </c>
      <c r="F427" s="13">
        <v>8</v>
      </c>
      <c r="G427" s="13">
        <v>4356</v>
      </c>
      <c r="H427" s="13">
        <v>3644.8829999999998</v>
      </c>
    </row>
    <row r="428" spans="1:8" x14ac:dyDescent="0.35">
      <c r="A428" s="11">
        <v>40958</v>
      </c>
      <c r="B428" s="12">
        <v>1514</v>
      </c>
      <c r="C428" s="13" t="s">
        <v>26</v>
      </c>
      <c r="D428" s="13" t="s">
        <v>31</v>
      </c>
      <c r="E428" s="13" t="s">
        <v>29</v>
      </c>
      <c r="F428" s="13">
        <v>8</v>
      </c>
      <c r="G428" s="13">
        <v>14880</v>
      </c>
      <c r="H428" s="13">
        <v>5200.5599999999995</v>
      </c>
    </row>
    <row r="429" spans="1:8" x14ac:dyDescent="0.35">
      <c r="A429" s="11">
        <v>40959</v>
      </c>
      <c r="B429" s="12">
        <v>1884</v>
      </c>
      <c r="C429" s="13" t="s">
        <v>27</v>
      </c>
      <c r="D429" s="13" t="s">
        <v>31</v>
      </c>
      <c r="E429" s="13" t="s">
        <v>25</v>
      </c>
      <c r="F429" s="13">
        <v>6</v>
      </c>
      <c r="G429" s="13">
        <v>1674</v>
      </c>
      <c r="H429" s="13">
        <v>576.86040000000003</v>
      </c>
    </row>
    <row r="430" spans="1:8" x14ac:dyDescent="0.35">
      <c r="A430" s="11">
        <v>40960</v>
      </c>
      <c r="B430" s="12">
        <v>1885</v>
      </c>
      <c r="C430" s="13" t="s">
        <v>23</v>
      </c>
      <c r="D430" s="13" t="s">
        <v>31</v>
      </c>
      <c r="E430" s="13" t="s">
        <v>25</v>
      </c>
      <c r="F430" s="13">
        <v>10</v>
      </c>
      <c r="G430" s="13">
        <v>13050</v>
      </c>
      <c r="H430" s="13">
        <v>877.221</v>
      </c>
    </row>
    <row r="431" spans="1:8" x14ac:dyDescent="0.35">
      <c r="A431" s="11">
        <v>40961</v>
      </c>
      <c r="B431" s="12">
        <v>1886</v>
      </c>
      <c r="C431" s="13" t="s">
        <v>26</v>
      </c>
      <c r="D431" s="13" t="s">
        <v>31</v>
      </c>
      <c r="E431" s="13" t="s">
        <v>25</v>
      </c>
      <c r="F431" s="13">
        <v>7</v>
      </c>
      <c r="G431" s="13">
        <v>11214</v>
      </c>
      <c r="H431" s="13">
        <v>3310.3728000000006</v>
      </c>
    </row>
    <row r="432" spans="1:8" x14ac:dyDescent="0.35">
      <c r="A432" s="11">
        <v>40962</v>
      </c>
      <c r="B432" s="12">
        <v>1887</v>
      </c>
      <c r="C432" s="13" t="s">
        <v>27</v>
      </c>
      <c r="D432" s="13" t="s">
        <v>31</v>
      </c>
      <c r="E432" s="13" t="s">
        <v>28</v>
      </c>
      <c r="F432" s="13">
        <v>8</v>
      </c>
      <c r="G432" s="13">
        <v>3168</v>
      </c>
      <c r="H432" s="13">
        <v>2676.3263999999999</v>
      </c>
    </row>
    <row r="433" spans="1:8" x14ac:dyDescent="0.35">
      <c r="A433" s="11">
        <v>40963</v>
      </c>
      <c r="B433" s="12">
        <v>1888</v>
      </c>
      <c r="C433" s="13" t="s">
        <v>23</v>
      </c>
      <c r="D433" s="13" t="s">
        <v>31</v>
      </c>
      <c r="E433" s="13" t="s">
        <v>28</v>
      </c>
      <c r="F433" s="13">
        <v>7</v>
      </c>
      <c r="G433" s="13">
        <v>13860</v>
      </c>
      <c r="H433" s="13">
        <v>1744.6968000000002</v>
      </c>
    </row>
    <row r="434" spans="1:8" x14ac:dyDescent="0.35">
      <c r="A434" s="11">
        <v>40964</v>
      </c>
      <c r="B434" s="12">
        <v>1889</v>
      </c>
      <c r="C434" s="13" t="s">
        <v>26</v>
      </c>
      <c r="D434" s="13" t="s">
        <v>31</v>
      </c>
      <c r="E434" s="13" t="s">
        <v>28</v>
      </c>
      <c r="F434" s="13">
        <v>6</v>
      </c>
      <c r="G434" s="13">
        <v>1728</v>
      </c>
      <c r="H434" s="13">
        <v>2136.8447999999999</v>
      </c>
    </row>
    <row r="435" spans="1:8" x14ac:dyDescent="0.35">
      <c r="A435" s="11">
        <v>40965</v>
      </c>
      <c r="B435" s="12">
        <v>1524</v>
      </c>
      <c r="C435" s="13" t="s">
        <v>27</v>
      </c>
      <c r="D435" s="13" t="s">
        <v>31</v>
      </c>
      <c r="E435" s="13" t="s">
        <v>25</v>
      </c>
      <c r="F435" s="13">
        <v>6</v>
      </c>
      <c r="G435" s="13">
        <v>6507</v>
      </c>
      <c r="H435" s="13">
        <v>2487.6260999999995</v>
      </c>
    </row>
    <row r="436" spans="1:8" x14ac:dyDescent="0.35">
      <c r="A436" s="11">
        <v>40966</v>
      </c>
      <c r="B436" s="12">
        <v>1890</v>
      </c>
      <c r="C436" s="13" t="s">
        <v>27</v>
      </c>
      <c r="D436" s="13" t="s">
        <v>31</v>
      </c>
      <c r="E436" s="13" t="s">
        <v>29</v>
      </c>
      <c r="F436" s="13">
        <v>10</v>
      </c>
      <c r="G436" s="13">
        <v>2505</v>
      </c>
      <c r="H436" s="13">
        <v>919.58550000000002</v>
      </c>
    </row>
    <row r="437" spans="1:8" x14ac:dyDescent="0.35">
      <c r="A437" s="11">
        <v>40967</v>
      </c>
      <c r="B437" s="12">
        <v>1525</v>
      </c>
      <c r="C437" s="13" t="s">
        <v>23</v>
      </c>
      <c r="D437" s="13" t="s">
        <v>31</v>
      </c>
      <c r="E437" s="13" t="s">
        <v>25</v>
      </c>
      <c r="F437" s="13">
        <v>10</v>
      </c>
      <c r="G437" s="13">
        <v>11700</v>
      </c>
      <c r="H437" s="13">
        <v>898.09199999999998</v>
      </c>
    </row>
    <row r="438" spans="1:8" x14ac:dyDescent="0.35">
      <c r="A438" s="11">
        <v>40969</v>
      </c>
      <c r="B438" s="12">
        <v>1891</v>
      </c>
      <c r="C438" s="13" t="s">
        <v>23</v>
      </c>
      <c r="D438" s="13" t="s">
        <v>31</v>
      </c>
      <c r="E438" s="13" t="s">
        <v>29</v>
      </c>
      <c r="F438" s="13">
        <v>6</v>
      </c>
      <c r="G438" s="13">
        <v>10710</v>
      </c>
      <c r="H438" s="13">
        <v>3991.6170000000002</v>
      </c>
    </row>
    <row r="439" spans="1:8" x14ac:dyDescent="0.35">
      <c r="A439" s="11">
        <v>40970</v>
      </c>
      <c r="B439" s="12">
        <v>1526</v>
      </c>
      <c r="C439" s="13" t="s">
        <v>26</v>
      </c>
      <c r="D439" s="13" t="s">
        <v>31</v>
      </c>
      <c r="E439" s="13" t="s">
        <v>25</v>
      </c>
      <c r="F439" s="13">
        <v>6</v>
      </c>
      <c r="G439" s="13">
        <v>7290</v>
      </c>
      <c r="H439" s="13">
        <v>3225.0960000000005</v>
      </c>
    </row>
    <row r="440" spans="1:8" x14ac:dyDescent="0.35">
      <c r="A440" s="11">
        <v>40971</v>
      </c>
      <c r="B440" s="12">
        <v>1892</v>
      </c>
      <c r="C440" s="13" t="s">
        <v>26</v>
      </c>
      <c r="D440" s="13" t="s">
        <v>31</v>
      </c>
      <c r="E440" s="13" t="s">
        <v>29</v>
      </c>
      <c r="F440" s="13">
        <v>9</v>
      </c>
      <c r="G440" s="13">
        <v>2085.75</v>
      </c>
      <c r="H440" s="13">
        <v>839.30579999999998</v>
      </c>
    </row>
    <row r="441" spans="1:8" x14ac:dyDescent="0.35">
      <c r="A441" s="11">
        <v>40972</v>
      </c>
      <c r="B441" s="12">
        <v>1527</v>
      </c>
      <c r="C441" s="13" t="s">
        <v>27</v>
      </c>
      <c r="D441" s="13" t="s">
        <v>31</v>
      </c>
      <c r="E441" s="13" t="s">
        <v>28</v>
      </c>
      <c r="F441" s="13">
        <v>9</v>
      </c>
      <c r="G441" s="13">
        <v>2358</v>
      </c>
      <c r="H441" s="13">
        <v>970.08119999999997</v>
      </c>
    </row>
    <row r="442" spans="1:8" x14ac:dyDescent="0.35">
      <c r="A442" s="11">
        <v>40973</v>
      </c>
      <c r="B442" s="12">
        <v>1893</v>
      </c>
      <c r="C442" s="13" t="s">
        <v>27</v>
      </c>
      <c r="D442" s="13" t="s">
        <v>31</v>
      </c>
      <c r="E442" s="13" t="s">
        <v>25</v>
      </c>
      <c r="F442" s="13">
        <v>9</v>
      </c>
      <c r="G442" s="13">
        <v>8829</v>
      </c>
      <c r="H442" s="13">
        <v>833.8990500000001</v>
      </c>
    </row>
    <row r="443" spans="1:8" x14ac:dyDescent="0.35">
      <c r="A443" s="11">
        <v>41339</v>
      </c>
      <c r="B443" s="12">
        <v>1528</v>
      </c>
      <c r="C443" s="13" t="s">
        <v>23</v>
      </c>
      <c r="D443" s="13" t="s">
        <v>31</v>
      </c>
      <c r="E443" s="13" t="s">
        <v>28</v>
      </c>
      <c r="F443" s="13">
        <v>8</v>
      </c>
      <c r="G443" s="13">
        <v>4288</v>
      </c>
      <c r="H443" s="13">
        <v>4340.5280000000002</v>
      </c>
    </row>
    <row r="444" spans="1:8" x14ac:dyDescent="0.35">
      <c r="A444" s="11">
        <v>41340</v>
      </c>
      <c r="B444" s="12">
        <v>1902</v>
      </c>
      <c r="C444" s="13" t="s">
        <v>27</v>
      </c>
      <c r="D444" s="13" t="s">
        <v>31</v>
      </c>
      <c r="E444" s="13" t="s">
        <v>25</v>
      </c>
      <c r="F444" s="13">
        <v>9</v>
      </c>
      <c r="G444" s="13">
        <v>8977.5</v>
      </c>
      <c r="H444" s="13">
        <v>1609.1271000000002</v>
      </c>
    </row>
    <row r="445" spans="1:8" x14ac:dyDescent="0.35">
      <c r="A445" s="11">
        <v>41341</v>
      </c>
      <c r="B445" s="12">
        <v>1903</v>
      </c>
      <c r="C445" s="13" t="s">
        <v>23</v>
      </c>
      <c r="D445" s="13" t="s">
        <v>31</v>
      </c>
      <c r="E445" s="13" t="s">
        <v>25</v>
      </c>
      <c r="F445" s="13">
        <v>6</v>
      </c>
      <c r="G445" s="13">
        <v>2232</v>
      </c>
      <c r="H445" s="13">
        <v>2974.8096</v>
      </c>
    </row>
    <row r="446" spans="1:8" x14ac:dyDescent="0.35">
      <c r="A446" s="11">
        <v>41342</v>
      </c>
      <c r="B446" s="12">
        <v>1904</v>
      </c>
      <c r="C446" s="13" t="s">
        <v>26</v>
      </c>
      <c r="D446" s="13" t="s">
        <v>31</v>
      </c>
      <c r="E446" s="13" t="s">
        <v>25</v>
      </c>
      <c r="F446" s="13">
        <v>9</v>
      </c>
      <c r="G446" s="13">
        <v>13365</v>
      </c>
      <c r="H446" s="13">
        <v>5565.1859999999997</v>
      </c>
    </row>
    <row r="447" spans="1:8" x14ac:dyDescent="0.35">
      <c r="A447" s="11">
        <v>41343</v>
      </c>
      <c r="B447" s="12">
        <v>1905</v>
      </c>
      <c r="C447" s="13" t="s">
        <v>27</v>
      </c>
      <c r="D447" s="13" t="s">
        <v>31</v>
      </c>
      <c r="E447" s="13" t="s">
        <v>28</v>
      </c>
      <c r="F447" s="13">
        <v>7</v>
      </c>
      <c r="G447" s="13">
        <v>2220.75</v>
      </c>
      <c r="H447" s="13">
        <v>982.68187499999999</v>
      </c>
    </row>
    <row r="448" spans="1:8" x14ac:dyDescent="0.35">
      <c r="A448" s="11">
        <v>41344</v>
      </c>
      <c r="B448" s="12">
        <v>1906</v>
      </c>
      <c r="C448" s="13" t="s">
        <v>23</v>
      </c>
      <c r="D448" s="13" t="s">
        <v>31</v>
      </c>
      <c r="E448" s="13" t="s">
        <v>28</v>
      </c>
      <c r="F448" s="13">
        <v>6</v>
      </c>
      <c r="G448" s="13">
        <v>5616</v>
      </c>
      <c r="H448" s="13">
        <v>4112.7840000000006</v>
      </c>
    </row>
    <row r="449" spans="1:8" x14ac:dyDescent="0.35">
      <c r="A449" s="11">
        <v>41345</v>
      </c>
      <c r="B449" s="12">
        <v>1542</v>
      </c>
      <c r="C449" s="13" t="s">
        <v>27</v>
      </c>
      <c r="D449" s="13" t="s">
        <v>31</v>
      </c>
      <c r="E449" s="13" t="s">
        <v>25</v>
      </c>
      <c r="F449" s="13">
        <v>9</v>
      </c>
      <c r="G449" s="13">
        <v>1984.5</v>
      </c>
      <c r="H449" s="13">
        <v>4042.4264999999996</v>
      </c>
    </row>
    <row r="450" spans="1:8" x14ac:dyDescent="0.35">
      <c r="A450" s="11">
        <v>41346</v>
      </c>
      <c r="B450" s="12">
        <v>1907</v>
      </c>
      <c r="C450" s="13" t="s">
        <v>26</v>
      </c>
      <c r="D450" s="13" t="s">
        <v>31</v>
      </c>
      <c r="E450" s="13" t="s">
        <v>28</v>
      </c>
      <c r="F450" s="13">
        <v>6</v>
      </c>
      <c r="G450" s="13">
        <v>7344</v>
      </c>
      <c r="H450" s="13">
        <v>3077.8703999999998</v>
      </c>
    </row>
    <row r="451" spans="1:8" x14ac:dyDescent="0.35">
      <c r="A451" s="11">
        <v>41347</v>
      </c>
      <c r="B451" s="12">
        <v>1543</v>
      </c>
      <c r="C451" s="13" t="s">
        <v>23</v>
      </c>
      <c r="D451" s="13" t="s">
        <v>31</v>
      </c>
      <c r="E451" s="13" t="s">
        <v>25</v>
      </c>
      <c r="F451" s="13">
        <v>9</v>
      </c>
      <c r="G451" s="13">
        <v>7587</v>
      </c>
      <c r="H451" s="13">
        <v>4445.982</v>
      </c>
    </row>
    <row r="452" spans="1:8" x14ac:dyDescent="0.35">
      <c r="A452" s="11">
        <v>41348</v>
      </c>
      <c r="B452" s="12">
        <v>1908</v>
      </c>
      <c r="C452" s="13" t="s">
        <v>27</v>
      </c>
      <c r="D452" s="13" t="s">
        <v>31</v>
      </c>
      <c r="E452" s="13" t="s">
        <v>29</v>
      </c>
      <c r="F452" s="13">
        <v>6</v>
      </c>
      <c r="G452" s="13">
        <v>3834</v>
      </c>
      <c r="H452" s="13">
        <v>3564.6615000000002</v>
      </c>
    </row>
    <row r="453" spans="1:8" x14ac:dyDescent="0.35">
      <c r="A453" s="11">
        <v>41349</v>
      </c>
      <c r="B453" s="12">
        <v>1544</v>
      </c>
      <c r="C453" s="13" t="s">
        <v>26</v>
      </c>
      <c r="D453" s="13" t="s">
        <v>31</v>
      </c>
      <c r="E453" s="13" t="s">
        <v>25</v>
      </c>
      <c r="F453" s="13">
        <v>8</v>
      </c>
      <c r="G453" s="13">
        <v>14940</v>
      </c>
      <c r="H453" s="13">
        <v>1164.7223999999999</v>
      </c>
    </row>
    <row r="454" spans="1:8" x14ac:dyDescent="0.35">
      <c r="A454" s="11">
        <v>41350</v>
      </c>
      <c r="B454" s="12">
        <v>1909</v>
      </c>
      <c r="C454" s="13" t="s">
        <v>23</v>
      </c>
      <c r="D454" s="13" t="s">
        <v>31</v>
      </c>
      <c r="E454" s="13" t="s">
        <v>29</v>
      </c>
      <c r="F454" s="13">
        <v>8</v>
      </c>
      <c r="G454" s="13">
        <v>2280</v>
      </c>
      <c r="H454" s="13">
        <v>737.58</v>
      </c>
    </row>
    <row r="455" spans="1:8" x14ac:dyDescent="0.35">
      <c r="A455" s="11">
        <v>41351</v>
      </c>
      <c r="B455" s="12">
        <v>1545</v>
      </c>
      <c r="C455" s="13" t="s">
        <v>27</v>
      </c>
      <c r="D455" s="13" t="s">
        <v>31</v>
      </c>
      <c r="E455" s="13" t="s">
        <v>28</v>
      </c>
      <c r="F455" s="13">
        <v>10</v>
      </c>
      <c r="G455" s="13">
        <v>13800</v>
      </c>
      <c r="H455" s="13">
        <v>1811.6640000000002</v>
      </c>
    </row>
    <row r="456" spans="1:8" x14ac:dyDescent="0.35">
      <c r="A456" s="11">
        <v>41352</v>
      </c>
      <c r="B456" s="12">
        <v>1910</v>
      </c>
      <c r="C456" s="13" t="s">
        <v>26</v>
      </c>
      <c r="D456" s="13" t="s">
        <v>31</v>
      </c>
      <c r="E456" s="13" t="s">
        <v>29</v>
      </c>
      <c r="F456" s="13">
        <v>8</v>
      </c>
      <c r="G456" s="13">
        <v>4048</v>
      </c>
      <c r="H456" s="13">
        <v>3422.1792</v>
      </c>
    </row>
    <row r="457" spans="1:8" x14ac:dyDescent="0.35">
      <c r="A457" s="11">
        <v>41353</v>
      </c>
      <c r="B457" s="12">
        <v>1546</v>
      </c>
      <c r="C457" s="13" t="s">
        <v>23</v>
      </c>
      <c r="D457" s="13" t="s">
        <v>31</v>
      </c>
      <c r="E457" s="13" t="s">
        <v>28</v>
      </c>
      <c r="F457" s="13">
        <v>8</v>
      </c>
      <c r="G457" s="13">
        <v>2106</v>
      </c>
      <c r="H457" s="13">
        <v>2156.9651999999996</v>
      </c>
    </row>
    <row r="458" spans="1:8" x14ac:dyDescent="0.35">
      <c r="A458" s="11">
        <v>41354</v>
      </c>
      <c r="B458" s="12">
        <v>1547</v>
      </c>
      <c r="C458" s="13" t="s">
        <v>26</v>
      </c>
      <c r="D458" s="13" t="s">
        <v>31</v>
      </c>
      <c r="E458" s="13" t="s">
        <v>28</v>
      </c>
      <c r="F458" s="13">
        <v>8</v>
      </c>
      <c r="G458" s="13">
        <v>7920</v>
      </c>
      <c r="H458" s="13">
        <v>2503.5120000000002</v>
      </c>
    </row>
    <row r="459" spans="1:8" x14ac:dyDescent="0.35">
      <c r="A459" s="11">
        <v>41355</v>
      </c>
      <c r="B459" s="12">
        <v>1548</v>
      </c>
      <c r="C459" s="13" t="s">
        <v>27</v>
      </c>
      <c r="D459" s="13" t="s">
        <v>31</v>
      </c>
      <c r="E459" s="13" t="s">
        <v>29</v>
      </c>
      <c r="F459" s="13">
        <v>9</v>
      </c>
      <c r="G459" s="13">
        <v>10044</v>
      </c>
      <c r="H459" s="13">
        <v>984.81420000000003</v>
      </c>
    </row>
    <row r="460" spans="1:8" x14ac:dyDescent="0.35">
      <c r="A460" s="11">
        <v>41356</v>
      </c>
      <c r="B460" s="12">
        <v>1549</v>
      </c>
      <c r="C460" s="13" t="s">
        <v>23</v>
      </c>
      <c r="D460" s="13" t="s">
        <v>31</v>
      </c>
      <c r="E460" s="13" t="s">
        <v>29</v>
      </c>
      <c r="F460" s="13">
        <v>8</v>
      </c>
      <c r="G460" s="13">
        <v>3144</v>
      </c>
      <c r="H460" s="13">
        <v>3420.6719999999996</v>
      </c>
    </row>
    <row r="461" spans="1:8" x14ac:dyDescent="0.35">
      <c r="A461" s="11">
        <v>41357</v>
      </c>
      <c r="B461" s="12">
        <v>1550</v>
      </c>
      <c r="C461" s="13" t="s">
        <v>26</v>
      </c>
      <c r="D461" s="13" t="s">
        <v>31</v>
      </c>
      <c r="E461" s="13" t="s">
        <v>29</v>
      </c>
      <c r="F461" s="13">
        <v>10</v>
      </c>
      <c r="G461" s="13">
        <v>10020</v>
      </c>
      <c r="H461" s="13">
        <v>3834.6539999999995</v>
      </c>
    </row>
    <row r="462" spans="1:8" x14ac:dyDescent="0.35">
      <c r="A462" s="11">
        <v>41358</v>
      </c>
      <c r="B462" s="12">
        <v>1938</v>
      </c>
      <c r="C462" s="13" t="s">
        <v>27</v>
      </c>
      <c r="D462" s="13" t="s">
        <v>31</v>
      </c>
      <c r="E462" s="13" t="s">
        <v>25</v>
      </c>
      <c r="F462" s="13">
        <v>7</v>
      </c>
      <c r="G462" s="13">
        <v>2016</v>
      </c>
      <c r="H462" s="13">
        <v>1776.096</v>
      </c>
    </row>
    <row r="463" spans="1:8" x14ac:dyDescent="0.35">
      <c r="A463" s="11">
        <v>41359</v>
      </c>
      <c r="B463" s="12">
        <v>1939</v>
      </c>
      <c r="C463" s="13" t="s">
        <v>23</v>
      </c>
      <c r="D463" s="13" t="s">
        <v>31</v>
      </c>
      <c r="E463" s="13" t="s">
        <v>25</v>
      </c>
      <c r="F463" s="13">
        <v>10</v>
      </c>
      <c r="G463" s="13">
        <v>7335</v>
      </c>
      <c r="H463" s="13">
        <v>3707.598</v>
      </c>
    </row>
    <row r="464" spans="1:8" x14ac:dyDescent="0.35">
      <c r="A464" s="11">
        <v>41360</v>
      </c>
      <c r="B464" s="12">
        <v>1940</v>
      </c>
      <c r="C464" s="13" t="s">
        <v>26</v>
      </c>
      <c r="D464" s="13" t="s">
        <v>31</v>
      </c>
      <c r="E464" s="13" t="s">
        <v>25</v>
      </c>
      <c r="F464" s="13">
        <v>10</v>
      </c>
      <c r="G464" s="13">
        <v>5310</v>
      </c>
      <c r="H464" s="13">
        <v>2214.6240000000003</v>
      </c>
    </row>
    <row r="465" spans="1:8" x14ac:dyDescent="0.35">
      <c r="A465" s="11">
        <v>41361</v>
      </c>
      <c r="B465" s="12">
        <v>1941</v>
      </c>
      <c r="C465" s="13" t="s">
        <v>27</v>
      </c>
      <c r="D465" s="13" t="s">
        <v>31</v>
      </c>
      <c r="E465" s="13" t="s">
        <v>28</v>
      </c>
      <c r="F465" s="13">
        <v>6</v>
      </c>
      <c r="G465" s="13">
        <v>7812</v>
      </c>
      <c r="H465" s="13">
        <v>666.16830000000004</v>
      </c>
    </row>
    <row r="466" spans="1:8" x14ac:dyDescent="0.35">
      <c r="A466" s="11">
        <v>41362</v>
      </c>
      <c r="B466" s="12">
        <v>1942</v>
      </c>
      <c r="C466" s="13" t="s">
        <v>23</v>
      </c>
      <c r="D466" s="13" t="s">
        <v>31</v>
      </c>
      <c r="E466" s="13" t="s">
        <v>28</v>
      </c>
      <c r="F466" s="13">
        <v>10</v>
      </c>
      <c r="G466" s="13">
        <v>7785</v>
      </c>
      <c r="H466" s="13">
        <v>4436.4120000000003</v>
      </c>
    </row>
    <row r="467" spans="1:8" x14ac:dyDescent="0.35">
      <c r="A467" s="11">
        <v>41363</v>
      </c>
      <c r="B467" s="12">
        <v>1578</v>
      </c>
      <c r="C467" s="13" t="s">
        <v>27</v>
      </c>
      <c r="D467" s="13" t="s">
        <v>31</v>
      </c>
      <c r="E467" s="13" t="s">
        <v>25</v>
      </c>
      <c r="F467" s="13">
        <v>8</v>
      </c>
      <c r="G467" s="13">
        <v>6876</v>
      </c>
      <c r="H467" s="13">
        <v>1720.8336000000002</v>
      </c>
    </row>
    <row r="468" spans="1:8" x14ac:dyDescent="0.35">
      <c r="A468" s="11">
        <v>41364</v>
      </c>
      <c r="B468" s="12">
        <v>1943</v>
      </c>
      <c r="C468" s="13" t="s">
        <v>26</v>
      </c>
      <c r="D468" s="13" t="s">
        <v>31</v>
      </c>
      <c r="E468" s="13" t="s">
        <v>28</v>
      </c>
      <c r="F468" s="13">
        <v>9</v>
      </c>
      <c r="G468" s="13">
        <v>2646</v>
      </c>
      <c r="H468" s="13">
        <v>1056.8124</v>
      </c>
    </row>
    <row r="469" spans="1:8" x14ac:dyDescent="0.35">
      <c r="A469" s="11">
        <v>41365</v>
      </c>
      <c r="B469" s="12">
        <v>1579</v>
      </c>
      <c r="C469" s="13" t="s">
        <v>23</v>
      </c>
      <c r="D469" s="13" t="s">
        <v>31</v>
      </c>
      <c r="E469" s="13" t="s">
        <v>25</v>
      </c>
      <c r="F469" s="13">
        <v>7</v>
      </c>
      <c r="G469" s="13">
        <v>1533</v>
      </c>
      <c r="H469" s="13">
        <v>2004.2442000000001</v>
      </c>
    </row>
    <row r="470" spans="1:8" x14ac:dyDescent="0.35">
      <c r="A470" s="11">
        <v>41366</v>
      </c>
      <c r="B470" s="12">
        <v>1944</v>
      </c>
      <c r="C470" s="13" t="s">
        <v>27</v>
      </c>
      <c r="D470" s="13" t="s">
        <v>31</v>
      </c>
      <c r="E470" s="13" t="s">
        <v>29</v>
      </c>
      <c r="F470" s="13">
        <v>7</v>
      </c>
      <c r="G470" s="13">
        <v>7140</v>
      </c>
      <c r="H470" s="13">
        <v>1653.0884999999996</v>
      </c>
    </row>
    <row r="471" spans="1:8" x14ac:dyDescent="0.35">
      <c r="A471" s="11">
        <v>41367</v>
      </c>
      <c r="B471" s="12">
        <v>1580</v>
      </c>
      <c r="C471" s="13" t="s">
        <v>26</v>
      </c>
      <c r="D471" s="13" t="s">
        <v>31</v>
      </c>
      <c r="E471" s="13" t="s">
        <v>25</v>
      </c>
      <c r="F471" s="13">
        <v>7</v>
      </c>
      <c r="G471" s="13">
        <v>2030</v>
      </c>
      <c r="H471" s="13">
        <v>771.4</v>
      </c>
    </row>
    <row r="472" spans="1:8" x14ac:dyDescent="0.35">
      <c r="A472" s="11">
        <v>41368</v>
      </c>
      <c r="B472" s="12">
        <v>1945</v>
      </c>
      <c r="C472" s="13" t="s">
        <v>23</v>
      </c>
      <c r="D472" s="13" t="s">
        <v>31</v>
      </c>
      <c r="E472" s="13" t="s">
        <v>29</v>
      </c>
      <c r="F472" s="13">
        <v>10</v>
      </c>
      <c r="G472" s="13">
        <v>2310</v>
      </c>
      <c r="H472" s="13">
        <v>944.09699999999998</v>
      </c>
    </row>
    <row r="473" spans="1:8" x14ac:dyDescent="0.35">
      <c r="A473" s="11">
        <v>41369</v>
      </c>
      <c r="B473" s="12">
        <v>1581</v>
      </c>
      <c r="C473" s="13" t="s">
        <v>27</v>
      </c>
      <c r="D473" s="13" t="s">
        <v>31</v>
      </c>
      <c r="E473" s="13" t="s">
        <v>28</v>
      </c>
      <c r="F473" s="13">
        <v>7</v>
      </c>
      <c r="G473" s="13">
        <v>5386.5</v>
      </c>
      <c r="H473" s="13">
        <v>1577.8854000000001</v>
      </c>
    </row>
    <row r="474" spans="1:8" x14ac:dyDescent="0.35">
      <c r="A474" s="11">
        <v>41370</v>
      </c>
      <c r="B474" s="12">
        <v>1946</v>
      </c>
      <c r="C474" s="13" t="s">
        <v>26</v>
      </c>
      <c r="D474" s="13" t="s">
        <v>31</v>
      </c>
      <c r="E474" s="13" t="s">
        <v>29</v>
      </c>
      <c r="F474" s="13">
        <v>6</v>
      </c>
      <c r="G474" s="13">
        <v>7938</v>
      </c>
      <c r="H474" s="13">
        <v>1496.3130000000001</v>
      </c>
    </row>
    <row r="475" spans="1:8" x14ac:dyDescent="0.35">
      <c r="A475" s="11">
        <v>41371</v>
      </c>
      <c r="B475" s="12">
        <v>1582</v>
      </c>
      <c r="C475" s="13" t="s">
        <v>23</v>
      </c>
      <c r="D475" s="13" t="s">
        <v>31</v>
      </c>
      <c r="E475" s="13" t="s">
        <v>28</v>
      </c>
      <c r="F475" s="13">
        <v>10</v>
      </c>
      <c r="G475" s="13">
        <v>10400</v>
      </c>
      <c r="H475" s="13">
        <v>2102.88</v>
      </c>
    </row>
    <row r="476" spans="1:8" x14ac:dyDescent="0.35">
      <c r="A476" s="11">
        <v>41372</v>
      </c>
      <c r="B476" s="12">
        <v>1583</v>
      </c>
      <c r="C476" s="13" t="s">
        <v>26</v>
      </c>
      <c r="D476" s="13" t="s">
        <v>31</v>
      </c>
      <c r="E476" s="13" t="s">
        <v>28</v>
      </c>
      <c r="F476" s="13">
        <v>10</v>
      </c>
      <c r="G476" s="13">
        <v>2295</v>
      </c>
      <c r="H476" s="13">
        <v>937.9665</v>
      </c>
    </row>
    <row r="477" spans="1:8" x14ac:dyDescent="0.35">
      <c r="A477" s="11">
        <v>41373</v>
      </c>
      <c r="B477" s="12">
        <v>1584</v>
      </c>
      <c r="C477" s="13" t="s">
        <v>27</v>
      </c>
      <c r="D477" s="13" t="s">
        <v>31</v>
      </c>
      <c r="E477" s="13" t="s">
        <v>29</v>
      </c>
      <c r="F477" s="13">
        <v>10</v>
      </c>
      <c r="G477" s="13">
        <v>6120</v>
      </c>
      <c r="H477" s="13">
        <v>1800.9119999999998</v>
      </c>
    </row>
    <row r="478" spans="1:8" x14ac:dyDescent="0.35">
      <c r="A478" s="11">
        <v>41374</v>
      </c>
      <c r="B478" s="12">
        <v>1585</v>
      </c>
      <c r="C478" s="13" t="s">
        <v>23</v>
      </c>
      <c r="D478" s="13" t="s">
        <v>31</v>
      </c>
      <c r="E478" s="13" t="s">
        <v>29</v>
      </c>
      <c r="F478" s="13">
        <v>6</v>
      </c>
      <c r="G478" s="13">
        <v>10395</v>
      </c>
      <c r="H478" s="13">
        <v>1761.7446</v>
      </c>
    </row>
    <row r="479" spans="1:8" x14ac:dyDescent="0.35">
      <c r="A479" s="11">
        <v>41375</v>
      </c>
      <c r="B479" s="12">
        <v>1586</v>
      </c>
      <c r="C479" s="13" t="s">
        <v>26</v>
      </c>
      <c r="D479" s="13" t="s">
        <v>31</v>
      </c>
      <c r="E479" s="13" t="s">
        <v>29</v>
      </c>
      <c r="F479" s="13">
        <v>6</v>
      </c>
      <c r="G479" s="13">
        <v>13365</v>
      </c>
      <c r="H479" s="13">
        <v>3555.09</v>
      </c>
    </row>
    <row r="480" spans="1:8" x14ac:dyDescent="0.35">
      <c r="A480" s="11">
        <v>41376</v>
      </c>
      <c r="B480" s="12">
        <v>1973</v>
      </c>
      <c r="C480" s="13" t="s">
        <v>26</v>
      </c>
      <c r="D480" s="13" t="s">
        <v>31</v>
      </c>
      <c r="E480" s="13" t="s">
        <v>29</v>
      </c>
      <c r="F480" s="13">
        <v>9</v>
      </c>
      <c r="G480" s="13">
        <v>14647.5</v>
      </c>
      <c r="H480" s="13">
        <v>1078.3489499999998</v>
      </c>
    </row>
    <row r="481" spans="1:8" x14ac:dyDescent="0.35">
      <c r="A481" s="11">
        <v>41377</v>
      </c>
      <c r="B481" s="12">
        <v>1609</v>
      </c>
      <c r="C481" s="13" t="s">
        <v>23</v>
      </c>
      <c r="D481" s="13" t="s">
        <v>31</v>
      </c>
      <c r="E481" s="13" t="s">
        <v>28</v>
      </c>
      <c r="F481" s="13">
        <v>6</v>
      </c>
      <c r="G481" s="13">
        <v>8820</v>
      </c>
      <c r="H481" s="13">
        <v>2244.5136000000002</v>
      </c>
    </row>
    <row r="482" spans="1:8" x14ac:dyDescent="0.35">
      <c r="A482" s="11">
        <v>41378</v>
      </c>
      <c r="B482" s="12">
        <v>1974</v>
      </c>
      <c r="C482" s="13" t="s">
        <v>27</v>
      </c>
      <c r="D482" s="13" t="s">
        <v>31</v>
      </c>
      <c r="E482" s="13" t="s">
        <v>25</v>
      </c>
      <c r="F482" s="13">
        <v>10</v>
      </c>
      <c r="G482" s="13">
        <v>7020</v>
      </c>
      <c r="H482" s="13">
        <v>1829.4120000000003</v>
      </c>
    </row>
    <row r="483" spans="1:8" x14ac:dyDescent="0.35">
      <c r="A483" s="11">
        <v>41379</v>
      </c>
      <c r="B483" s="12">
        <v>1610</v>
      </c>
      <c r="C483" s="13" t="s">
        <v>26</v>
      </c>
      <c r="D483" s="13" t="s">
        <v>31</v>
      </c>
      <c r="E483" s="13" t="s">
        <v>28</v>
      </c>
      <c r="F483" s="13">
        <v>6</v>
      </c>
      <c r="G483" s="13">
        <v>3645</v>
      </c>
      <c r="H483" s="13">
        <v>747.58950000000004</v>
      </c>
    </row>
    <row r="484" spans="1:8" x14ac:dyDescent="0.35">
      <c r="A484" s="11">
        <v>41380</v>
      </c>
      <c r="B484" s="12">
        <v>1975</v>
      </c>
      <c r="C484" s="13" t="s">
        <v>23</v>
      </c>
      <c r="D484" s="13" t="s">
        <v>31</v>
      </c>
      <c r="E484" s="13" t="s">
        <v>25</v>
      </c>
      <c r="F484" s="13">
        <v>9</v>
      </c>
      <c r="G484" s="13">
        <v>2439</v>
      </c>
      <c r="H484" s="13">
        <v>2932.6535999999996</v>
      </c>
    </row>
    <row r="485" spans="1:8" x14ac:dyDescent="0.35">
      <c r="A485" s="11">
        <v>41381</v>
      </c>
      <c r="B485" s="12">
        <v>1611</v>
      </c>
      <c r="C485" s="13" t="s">
        <v>27</v>
      </c>
      <c r="D485" s="13" t="s">
        <v>31</v>
      </c>
      <c r="E485" s="13" t="s">
        <v>29</v>
      </c>
      <c r="F485" s="13">
        <v>6</v>
      </c>
      <c r="G485" s="13">
        <v>7560</v>
      </c>
      <c r="H485" s="13">
        <v>2169.7200000000003</v>
      </c>
    </row>
    <row r="486" spans="1:8" x14ac:dyDescent="0.35">
      <c r="A486" s="11">
        <v>41382</v>
      </c>
      <c r="B486" s="12">
        <v>1976</v>
      </c>
      <c r="C486" s="13" t="s">
        <v>26</v>
      </c>
      <c r="D486" s="13" t="s">
        <v>31</v>
      </c>
      <c r="E486" s="13" t="s">
        <v>25</v>
      </c>
      <c r="F486" s="13">
        <v>7</v>
      </c>
      <c r="G486" s="13">
        <v>7308</v>
      </c>
      <c r="H486" s="13">
        <v>1176.2226000000001</v>
      </c>
    </row>
    <row r="487" spans="1:8" x14ac:dyDescent="0.35">
      <c r="A487" s="11">
        <v>41383</v>
      </c>
      <c r="B487" s="12">
        <v>1612</v>
      </c>
      <c r="C487" s="13" t="s">
        <v>23</v>
      </c>
      <c r="D487" s="13" t="s">
        <v>31</v>
      </c>
      <c r="E487" s="13" t="s">
        <v>29</v>
      </c>
      <c r="F487" s="13">
        <v>6</v>
      </c>
      <c r="G487" s="13">
        <v>1741.5</v>
      </c>
      <c r="H487" s="13">
        <v>1614.3705</v>
      </c>
    </row>
    <row r="488" spans="1:8" x14ac:dyDescent="0.35">
      <c r="A488" s="11">
        <v>41384</v>
      </c>
      <c r="B488" s="12">
        <v>1977</v>
      </c>
      <c r="C488" s="13" t="s">
        <v>27</v>
      </c>
      <c r="D488" s="13" t="s">
        <v>31</v>
      </c>
      <c r="E488" s="13" t="s">
        <v>28</v>
      </c>
      <c r="F488" s="13">
        <v>6</v>
      </c>
      <c r="G488" s="13">
        <v>3492</v>
      </c>
      <c r="H488" s="13">
        <v>2941.1369999999997</v>
      </c>
    </row>
    <row r="489" spans="1:8" x14ac:dyDescent="0.35">
      <c r="A489" s="11">
        <v>41385</v>
      </c>
      <c r="B489" s="12">
        <v>1613</v>
      </c>
      <c r="C489" s="13" t="s">
        <v>26</v>
      </c>
      <c r="D489" s="13" t="s">
        <v>31</v>
      </c>
      <c r="E489" s="13" t="s">
        <v>29</v>
      </c>
      <c r="F489" s="13">
        <v>10</v>
      </c>
      <c r="G489" s="13">
        <v>2850</v>
      </c>
      <c r="H489" s="13">
        <v>3530.2949999999996</v>
      </c>
    </row>
    <row r="490" spans="1:8" x14ac:dyDescent="0.35">
      <c r="A490" s="11">
        <v>41386</v>
      </c>
      <c r="B490" s="12">
        <v>1978</v>
      </c>
      <c r="C490" s="13" t="s">
        <v>23</v>
      </c>
      <c r="D490" s="13" t="s">
        <v>31</v>
      </c>
      <c r="E490" s="13" t="s">
        <v>28</v>
      </c>
      <c r="F490" s="13">
        <v>8</v>
      </c>
      <c r="G490" s="13">
        <v>2520</v>
      </c>
      <c r="H490" s="13">
        <v>3844.2599999999998</v>
      </c>
    </row>
    <row r="491" spans="1:8" x14ac:dyDescent="0.35">
      <c r="A491" s="11">
        <v>41387</v>
      </c>
      <c r="B491" s="12">
        <v>1614</v>
      </c>
      <c r="C491" s="13" t="s">
        <v>27</v>
      </c>
      <c r="D491" s="13" t="s">
        <v>31</v>
      </c>
      <c r="E491" s="13" t="s">
        <v>25</v>
      </c>
      <c r="F491" s="13">
        <v>8</v>
      </c>
      <c r="G491" s="13">
        <v>3408</v>
      </c>
      <c r="H491" s="13">
        <v>1704.3407999999997</v>
      </c>
    </row>
    <row r="492" spans="1:8" x14ac:dyDescent="0.35">
      <c r="A492" s="11">
        <v>41388</v>
      </c>
      <c r="B492" s="12">
        <v>1979</v>
      </c>
      <c r="C492" s="13" t="s">
        <v>26</v>
      </c>
      <c r="D492" s="13" t="s">
        <v>31</v>
      </c>
      <c r="E492" s="13" t="s">
        <v>28</v>
      </c>
      <c r="F492" s="13">
        <v>7</v>
      </c>
      <c r="G492" s="13">
        <v>7812</v>
      </c>
      <c r="H492" s="13">
        <v>2902.9391999999998</v>
      </c>
    </row>
    <row r="493" spans="1:8" x14ac:dyDescent="0.35">
      <c r="A493" s="11">
        <v>41389</v>
      </c>
      <c r="B493" s="12">
        <v>1615</v>
      </c>
      <c r="C493" s="13" t="s">
        <v>23</v>
      </c>
      <c r="D493" s="13" t="s">
        <v>31</v>
      </c>
      <c r="E493" s="13" t="s">
        <v>25</v>
      </c>
      <c r="F493" s="13">
        <v>10</v>
      </c>
      <c r="G493" s="13">
        <v>9600</v>
      </c>
      <c r="H493" s="13">
        <v>1070.1600000000001</v>
      </c>
    </row>
    <row r="494" spans="1:8" x14ac:dyDescent="0.35">
      <c r="A494" s="11">
        <v>41390</v>
      </c>
      <c r="B494" s="12">
        <v>1980</v>
      </c>
      <c r="C494" s="13" t="s">
        <v>27</v>
      </c>
      <c r="D494" s="13" t="s">
        <v>31</v>
      </c>
      <c r="E494" s="13" t="s">
        <v>29</v>
      </c>
      <c r="F494" s="13">
        <v>6</v>
      </c>
      <c r="G494" s="13">
        <v>4950</v>
      </c>
      <c r="H494" s="13">
        <v>4145.13</v>
      </c>
    </row>
    <row r="495" spans="1:8" x14ac:dyDescent="0.35">
      <c r="A495" s="11">
        <v>41391</v>
      </c>
      <c r="B495" s="12">
        <v>1616</v>
      </c>
      <c r="C495" s="13" t="s">
        <v>26</v>
      </c>
      <c r="D495" s="13" t="s">
        <v>31</v>
      </c>
      <c r="E495" s="13" t="s">
        <v>25</v>
      </c>
      <c r="F495" s="13">
        <v>9</v>
      </c>
      <c r="G495" s="13">
        <v>6075</v>
      </c>
      <c r="H495" s="13">
        <v>850.09500000000003</v>
      </c>
    </row>
    <row r="496" spans="1:8" x14ac:dyDescent="0.35">
      <c r="A496" s="11">
        <v>41392</v>
      </c>
      <c r="B496" s="12">
        <v>1981</v>
      </c>
      <c r="C496" s="13" t="s">
        <v>23</v>
      </c>
      <c r="D496" s="13" t="s">
        <v>31</v>
      </c>
      <c r="E496" s="13" t="s">
        <v>29</v>
      </c>
      <c r="F496" s="13">
        <v>10</v>
      </c>
      <c r="G496" s="13">
        <v>11880</v>
      </c>
      <c r="H496" s="13">
        <v>3659.04</v>
      </c>
    </row>
    <row r="497" spans="1:8" x14ac:dyDescent="0.35">
      <c r="A497" s="11">
        <v>41393</v>
      </c>
      <c r="B497" s="12">
        <v>1617</v>
      </c>
      <c r="C497" s="13" t="s">
        <v>27</v>
      </c>
      <c r="D497" s="13" t="s">
        <v>31</v>
      </c>
      <c r="E497" s="13" t="s">
        <v>28</v>
      </c>
      <c r="F497" s="13">
        <v>8</v>
      </c>
      <c r="G497" s="13">
        <v>2964</v>
      </c>
      <c r="H497" s="13">
        <v>889.49639999999988</v>
      </c>
    </row>
    <row r="498" spans="1:8" x14ac:dyDescent="0.35">
      <c r="A498" s="11">
        <v>41394</v>
      </c>
      <c r="B498" s="12">
        <v>1982</v>
      </c>
      <c r="C498" s="13" t="s">
        <v>26</v>
      </c>
      <c r="D498" s="13" t="s">
        <v>31</v>
      </c>
      <c r="E498" s="13" t="s">
        <v>29</v>
      </c>
      <c r="F498" s="13">
        <v>10</v>
      </c>
      <c r="G498" s="13">
        <v>13275</v>
      </c>
      <c r="H498" s="13">
        <v>1865.9339999999997</v>
      </c>
    </row>
    <row r="499" spans="1:8" x14ac:dyDescent="0.35">
      <c r="A499" s="11">
        <v>41395</v>
      </c>
      <c r="B499" s="12">
        <v>1618</v>
      </c>
      <c r="C499" s="13" t="s">
        <v>23</v>
      </c>
      <c r="D499" s="13" t="s">
        <v>31</v>
      </c>
      <c r="E499" s="13" t="s">
        <v>28</v>
      </c>
      <c r="F499" s="13">
        <v>10</v>
      </c>
      <c r="G499" s="13">
        <v>11760</v>
      </c>
      <c r="H499" s="13">
        <v>3227.2380000000003</v>
      </c>
    </row>
    <row r="500" spans="1:8" x14ac:dyDescent="0.35">
      <c r="A500" s="11">
        <v>41396</v>
      </c>
      <c r="B500" s="12">
        <v>1619</v>
      </c>
      <c r="C500" s="13" t="s">
        <v>26</v>
      </c>
      <c r="D500" s="13" t="s">
        <v>31</v>
      </c>
      <c r="E500" s="13" t="s">
        <v>28</v>
      </c>
      <c r="F500" s="13">
        <v>8</v>
      </c>
      <c r="G500" s="13">
        <v>9216</v>
      </c>
      <c r="H500" s="13">
        <v>806.39999999999986</v>
      </c>
    </row>
    <row r="501" spans="1:8" x14ac:dyDescent="0.35">
      <c r="A501" s="11">
        <v>41397</v>
      </c>
      <c r="B501" s="12">
        <v>1620</v>
      </c>
      <c r="C501" s="13" t="s">
        <v>27</v>
      </c>
      <c r="D501" s="13" t="s">
        <v>31</v>
      </c>
      <c r="E501" s="13" t="s">
        <v>29</v>
      </c>
      <c r="F501" s="13">
        <v>6</v>
      </c>
      <c r="G501" s="13">
        <v>3888</v>
      </c>
      <c r="H501" s="13">
        <v>1395.0144</v>
      </c>
    </row>
    <row r="502" spans="1:8" x14ac:dyDescent="0.35">
      <c r="A502" s="11">
        <v>41398</v>
      </c>
      <c r="B502" s="12">
        <v>1621</v>
      </c>
      <c r="C502" s="13" t="s">
        <v>23</v>
      </c>
      <c r="D502" s="13" t="s">
        <v>31</v>
      </c>
      <c r="E502" s="13" t="s">
        <v>29</v>
      </c>
      <c r="F502" s="13">
        <v>10</v>
      </c>
      <c r="G502" s="13">
        <v>5000</v>
      </c>
      <c r="H502" s="13">
        <v>4843.75</v>
      </c>
    </row>
    <row r="503" spans="1:8" x14ac:dyDescent="0.35">
      <c r="A503" s="11">
        <v>41399</v>
      </c>
      <c r="B503" s="12">
        <v>1622</v>
      </c>
      <c r="C503" s="13" t="s">
        <v>26</v>
      </c>
      <c r="D503" s="13" t="s">
        <v>31</v>
      </c>
      <c r="E503" s="13" t="s">
        <v>29</v>
      </c>
      <c r="F503" s="13">
        <v>6</v>
      </c>
      <c r="G503" s="13">
        <v>7128</v>
      </c>
      <c r="H503" s="13">
        <v>783.54539999999986</v>
      </c>
    </row>
    <row r="504" spans="1:8" x14ac:dyDescent="0.35">
      <c r="A504" s="11">
        <v>41400</v>
      </c>
      <c r="B504" s="12">
        <v>1992</v>
      </c>
      <c r="C504" s="13" t="s">
        <v>27</v>
      </c>
      <c r="D504" s="13" t="s">
        <v>31</v>
      </c>
      <c r="E504" s="13" t="s">
        <v>25</v>
      </c>
      <c r="F504" s="13">
        <v>6</v>
      </c>
      <c r="G504" s="13">
        <v>3726</v>
      </c>
      <c r="H504" s="13">
        <v>745.01369999999997</v>
      </c>
    </row>
    <row r="505" spans="1:8" x14ac:dyDescent="0.35">
      <c r="A505" s="11">
        <v>41401</v>
      </c>
      <c r="B505" s="12">
        <v>1993</v>
      </c>
      <c r="C505" s="13" t="s">
        <v>23</v>
      </c>
      <c r="D505" s="13" t="s">
        <v>31</v>
      </c>
      <c r="E505" s="13" t="s">
        <v>25</v>
      </c>
      <c r="F505" s="13">
        <v>8</v>
      </c>
      <c r="G505" s="13">
        <v>6144</v>
      </c>
      <c r="H505" s="13">
        <v>1320.6528000000001</v>
      </c>
    </row>
    <row r="506" spans="1:8" x14ac:dyDescent="0.35">
      <c r="A506" s="11">
        <v>41767</v>
      </c>
      <c r="B506" s="12">
        <v>1994</v>
      </c>
      <c r="C506" s="13" t="s">
        <v>26</v>
      </c>
      <c r="D506" s="13" t="s">
        <v>31</v>
      </c>
      <c r="E506" s="13" t="s">
        <v>25</v>
      </c>
      <c r="F506" s="13">
        <v>8</v>
      </c>
      <c r="G506" s="13">
        <v>2232</v>
      </c>
      <c r="H506" s="13">
        <v>869.14080000000001</v>
      </c>
    </row>
    <row r="507" spans="1:8" x14ac:dyDescent="0.35">
      <c r="A507" s="11">
        <v>41768</v>
      </c>
      <c r="B507" s="12">
        <v>1995</v>
      </c>
      <c r="C507" s="13" t="s">
        <v>27</v>
      </c>
      <c r="D507" s="13" t="s">
        <v>31</v>
      </c>
      <c r="E507" s="13" t="s">
        <v>28</v>
      </c>
      <c r="F507" s="13">
        <v>8</v>
      </c>
      <c r="G507" s="13">
        <v>7860</v>
      </c>
      <c r="H507" s="13">
        <v>1054.1831999999999</v>
      </c>
    </row>
    <row r="508" spans="1:8" x14ac:dyDescent="0.35">
      <c r="A508" s="11">
        <v>41769</v>
      </c>
      <c r="B508" s="12">
        <v>1996</v>
      </c>
      <c r="C508" s="13" t="s">
        <v>23</v>
      </c>
      <c r="D508" s="13" t="s">
        <v>31</v>
      </c>
      <c r="E508" s="13" t="s">
        <v>28</v>
      </c>
      <c r="F508" s="13">
        <v>10</v>
      </c>
      <c r="G508" s="13">
        <v>3330</v>
      </c>
      <c r="H508" s="13">
        <v>1313.3519999999999</v>
      </c>
    </row>
    <row r="509" spans="1:8" x14ac:dyDescent="0.35">
      <c r="A509" s="11">
        <v>41770</v>
      </c>
      <c r="B509" s="12">
        <v>1632</v>
      </c>
      <c r="C509" s="13" t="s">
        <v>27</v>
      </c>
      <c r="D509" s="13" t="s">
        <v>31</v>
      </c>
      <c r="E509" s="13" t="s">
        <v>25</v>
      </c>
      <c r="F509" s="13">
        <v>6</v>
      </c>
      <c r="G509" s="13">
        <v>4725</v>
      </c>
      <c r="H509" s="13">
        <v>651.73500000000001</v>
      </c>
    </row>
    <row r="510" spans="1:8" x14ac:dyDescent="0.35">
      <c r="A510" s="11">
        <v>41771</v>
      </c>
      <c r="B510" s="12">
        <v>1997</v>
      </c>
      <c r="C510" s="13" t="s">
        <v>26</v>
      </c>
      <c r="D510" s="13" t="s">
        <v>31</v>
      </c>
      <c r="E510" s="13" t="s">
        <v>28</v>
      </c>
      <c r="F510" s="13">
        <v>8</v>
      </c>
      <c r="G510" s="13">
        <v>3408</v>
      </c>
      <c r="H510" s="13">
        <v>2123.8656000000001</v>
      </c>
    </row>
    <row r="511" spans="1:8" x14ac:dyDescent="0.35">
      <c r="A511" s="11">
        <v>41772</v>
      </c>
      <c r="B511" s="12">
        <v>1633</v>
      </c>
      <c r="C511" s="13" t="s">
        <v>23</v>
      </c>
      <c r="D511" s="13" t="s">
        <v>31</v>
      </c>
      <c r="E511" s="13" t="s">
        <v>25</v>
      </c>
      <c r="F511" s="13">
        <v>10</v>
      </c>
      <c r="G511" s="13">
        <v>11560</v>
      </c>
      <c r="H511" s="13">
        <v>4369.68</v>
      </c>
    </row>
    <row r="512" spans="1:8" x14ac:dyDescent="0.35">
      <c r="A512" s="11">
        <v>41773</v>
      </c>
      <c r="B512" s="12">
        <v>1998</v>
      </c>
      <c r="C512" s="13" t="s">
        <v>27</v>
      </c>
      <c r="D512" s="13" t="s">
        <v>31</v>
      </c>
      <c r="E512" s="13" t="s">
        <v>29</v>
      </c>
      <c r="F512" s="13">
        <v>10</v>
      </c>
      <c r="G512" s="13">
        <v>7320</v>
      </c>
      <c r="H512" s="13">
        <v>798.61199999999997</v>
      </c>
    </row>
    <row r="513" spans="1:8" x14ac:dyDescent="0.35">
      <c r="A513" s="11">
        <v>41774</v>
      </c>
      <c r="B513" s="12">
        <v>1634</v>
      </c>
      <c r="C513" s="13" t="s">
        <v>26</v>
      </c>
      <c r="D513" s="13" t="s">
        <v>31</v>
      </c>
      <c r="E513" s="13" t="s">
        <v>25</v>
      </c>
      <c r="F513" s="13">
        <v>10</v>
      </c>
      <c r="G513" s="13">
        <v>5130</v>
      </c>
      <c r="H513" s="13">
        <v>1311.57</v>
      </c>
    </row>
    <row r="514" spans="1:8" x14ac:dyDescent="0.35">
      <c r="A514" s="11">
        <v>41775</v>
      </c>
      <c r="B514" s="12">
        <v>1999</v>
      </c>
      <c r="C514" s="13" t="s">
        <v>23</v>
      </c>
      <c r="D514" s="13" t="s">
        <v>31</v>
      </c>
      <c r="E514" s="13" t="s">
        <v>29</v>
      </c>
      <c r="F514" s="13">
        <v>8</v>
      </c>
      <c r="G514" s="13">
        <v>8864</v>
      </c>
      <c r="H514" s="13">
        <v>723.30240000000003</v>
      </c>
    </row>
    <row r="515" spans="1:8" x14ac:dyDescent="0.35">
      <c r="A515" s="11">
        <v>41776</v>
      </c>
      <c r="B515" s="12">
        <v>1635</v>
      </c>
      <c r="C515" s="13" t="s">
        <v>27</v>
      </c>
      <c r="D515" s="13" t="s">
        <v>31</v>
      </c>
      <c r="E515" s="13" t="s">
        <v>28</v>
      </c>
      <c r="F515" s="13">
        <v>8</v>
      </c>
      <c r="G515" s="13">
        <v>2064</v>
      </c>
      <c r="H515" s="13">
        <v>817.55039999999997</v>
      </c>
    </row>
    <row r="516" spans="1:8" x14ac:dyDescent="0.35">
      <c r="A516" s="11">
        <v>41777</v>
      </c>
      <c r="B516" s="12">
        <v>2000</v>
      </c>
      <c r="C516" s="13" t="s">
        <v>26</v>
      </c>
      <c r="D516" s="13" t="s">
        <v>31</v>
      </c>
      <c r="E516" s="13" t="s">
        <v>29</v>
      </c>
      <c r="F516" s="13">
        <v>7</v>
      </c>
      <c r="G516" s="13">
        <v>2226</v>
      </c>
      <c r="H516" s="13">
        <v>2221.7705999999998</v>
      </c>
    </row>
    <row r="517" spans="1:8" x14ac:dyDescent="0.35">
      <c r="A517" s="11">
        <v>41778</v>
      </c>
      <c r="B517" s="12">
        <v>1636</v>
      </c>
      <c r="C517" s="13" t="s">
        <v>23</v>
      </c>
      <c r="D517" s="13" t="s">
        <v>31</v>
      </c>
      <c r="E517" s="13" t="s">
        <v>28</v>
      </c>
      <c r="F517" s="13">
        <v>6</v>
      </c>
      <c r="G517" s="13">
        <v>5319</v>
      </c>
      <c r="H517" s="13">
        <v>586.33109999999999</v>
      </c>
    </row>
    <row r="518" spans="1:8" x14ac:dyDescent="0.35">
      <c r="A518" s="11">
        <v>41779</v>
      </c>
      <c r="B518" s="12">
        <v>2001</v>
      </c>
      <c r="C518" s="13" t="s">
        <v>27</v>
      </c>
      <c r="D518" s="13" t="s">
        <v>31</v>
      </c>
      <c r="E518" s="13" t="s">
        <v>25</v>
      </c>
      <c r="F518" s="13">
        <v>6</v>
      </c>
      <c r="G518" s="13">
        <v>3096</v>
      </c>
      <c r="H518" s="13">
        <v>655.42319999999995</v>
      </c>
    </row>
    <row r="519" spans="1:8" x14ac:dyDescent="0.35">
      <c r="A519" s="11">
        <v>41780</v>
      </c>
      <c r="B519" s="12">
        <v>1637</v>
      </c>
      <c r="C519" s="13" t="s">
        <v>26</v>
      </c>
      <c r="D519" s="13" t="s">
        <v>31</v>
      </c>
      <c r="E519" s="13" t="s">
        <v>28</v>
      </c>
      <c r="F519" s="13">
        <v>7</v>
      </c>
      <c r="G519" s="13">
        <v>5481</v>
      </c>
      <c r="H519" s="13">
        <v>2782.5209999999997</v>
      </c>
    </row>
    <row r="520" spans="1:8" x14ac:dyDescent="0.35">
      <c r="A520" s="11">
        <v>41781</v>
      </c>
      <c r="B520" s="12">
        <v>2002</v>
      </c>
      <c r="C520" s="13" t="s">
        <v>23</v>
      </c>
      <c r="D520" s="13" t="s">
        <v>31</v>
      </c>
      <c r="E520" s="13" t="s">
        <v>25</v>
      </c>
      <c r="F520" s="13">
        <v>7</v>
      </c>
      <c r="G520" s="13">
        <v>5460</v>
      </c>
      <c r="H520" s="13">
        <v>894.62099999999998</v>
      </c>
    </row>
    <row r="521" spans="1:8" x14ac:dyDescent="0.35">
      <c r="A521" s="11">
        <v>41782</v>
      </c>
      <c r="B521" s="12">
        <v>1638</v>
      </c>
      <c r="C521" s="13" t="s">
        <v>27</v>
      </c>
      <c r="D521" s="13" t="s">
        <v>31</v>
      </c>
      <c r="E521" s="13" t="s">
        <v>29</v>
      </c>
      <c r="F521" s="13">
        <v>9</v>
      </c>
      <c r="G521" s="13">
        <v>4657.5</v>
      </c>
      <c r="H521" s="13">
        <v>2321.9190000000003</v>
      </c>
    </row>
    <row r="522" spans="1:8" x14ac:dyDescent="0.35">
      <c r="A522" s="11">
        <v>41783</v>
      </c>
      <c r="B522" s="12">
        <v>2003</v>
      </c>
      <c r="C522" s="13" t="s">
        <v>26</v>
      </c>
      <c r="D522" s="13" t="s">
        <v>31</v>
      </c>
      <c r="E522" s="13" t="s">
        <v>25</v>
      </c>
      <c r="F522" s="13">
        <v>6</v>
      </c>
      <c r="G522" s="13">
        <v>7020</v>
      </c>
      <c r="H522" s="13">
        <v>3597.0479999999998</v>
      </c>
    </row>
    <row r="523" spans="1:8" x14ac:dyDescent="0.35">
      <c r="A523" s="11">
        <v>41784</v>
      </c>
      <c r="B523" s="12">
        <v>1639</v>
      </c>
      <c r="C523" s="13" t="s">
        <v>23</v>
      </c>
      <c r="D523" s="13" t="s">
        <v>31</v>
      </c>
      <c r="E523" s="13" t="s">
        <v>29</v>
      </c>
      <c r="F523" s="13">
        <v>7</v>
      </c>
      <c r="G523" s="13">
        <v>2635.5</v>
      </c>
      <c r="H523" s="13">
        <v>3538.1587500000001</v>
      </c>
    </row>
    <row r="524" spans="1:8" x14ac:dyDescent="0.35">
      <c r="A524" s="11">
        <v>41785</v>
      </c>
      <c r="B524" s="12">
        <v>2004</v>
      </c>
      <c r="C524" s="13" t="s">
        <v>27</v>
      </c>
      <c r="D524" s="13" t="s">
        <v>31</v>
      </c>
      <c r="E524" s="13" t="s">
        <v>28</v>
      </c>
      <c r="F524" s="13">
        <v>8</v>
      </c>
      <c r="G524" s="13">
        <v>4080</v>
      </c>
      <c r="H524" s="13">
        <v>2063.0519999999997</v>
      </c>
    </row>
    <row r="525" spans="1:8" x14ac:dyDescent="0.35">
      <c r="A525" s="11">
        <v>41786</v>
      </c>
      <c r="B525" s="12">
        <v>1640</v>
      </c>
      <c r="C525" s="13" t="s">
        <v>26</v>
      </c>
      <c r="D525" s="13" t="s">
        <v>31</v>
      </c>
      <c r="E525" s="13" t="s">
        <v>29</v>
      </c>
      <c r="F525" s="13">
        <v>9</v>
      </c>
      <c r="G525" s="13">
        <v>4900.5</v>
      </c>
      <c r="H525" s="13">
        <v>992.51460000000009</v>
      </c>
    </row>
    <row r="526" spans="1:8" x14ac:dyDescent="0.35">
      <c r="A526" s="11">
        <v>41787</v>
      </c>
      <c r="B526" s="12">
        <v>2005</v>
      </c>
      <c r="C526" s="13" t="s">
        <v>23</v>
      </c>
      <c r="D526" s="13" t="s">
        <v>31</v>
      </c>
      <c r="E526" s="13" t="s">
        <v>28</v>
      </c>
      <c r="F526" s="13">
        <v>6</v>
      </c>
      <c r="G526" s="13">
        <v>2610</v>
      </c>
      <c r="H526" s="13">
        <v>3297.9960000000001</v>
      </c>
    </row>
    <row r="527" spans="1:8" x14ac:dyDescent="0.35">
      <c r="A527" s="11">
        <v>41788</v>
      </c>
      <c r="B527" s="12">
        <v>1641</v>
      </c>
      <c r="C527" s="13" t="s">
        <v>27</v>
      </c>
      <c r="D527" s="13" t="s">
        <v>31</v>
      </c>
      <c r="E527" s="13" t="s">
        <v>25</v>
      </c>
      <c r="F527" s="13">
        <v>9</v>
      </c>
      <c r="G527" s="13">
        <v>1593</v>
      </c>
      <c r="H527" s="13">
        <v>2850.8328000000001</v>
      </c>
    </row>
    <row r="528" spans="1:8" x14ac:dyDescent="0.35">
      <c r="A528" s="11">
        <v>41789</v>
      </c>
      <c r="B528" s="12">
        <v>2006</v>
      </c>
      <c r="C528" s="13" t="s">
        <v>26</v>
      </c>
      <c r="D528" s="13" t="s">
        <v>31</v>
      </c>
      <c r="E528" s="13" t="s">
        <v>28</v>
      </c>
      <c r="F528" s="13">
        <v>6</v>
      </c>
      <c r="G528" s="13">
        <v>5724</v>
      </c>
      <c r="H528" s="13">
        <v>2687.4180000000001</v>
      </c>
    </row>
    <row r="529" spans="1:8" x14ac:dyDescent="0.35">
      <c r="A529" s="11">
        <v>41790</v>
      </c>
      <c r="B529" s="12">
        <v>1642</v>
      </c>
      <c r="C529" s="13" t="s">
        <v>23</v>
      </c>
      <c r="D529" s="13" t="s">
        <v>31</v>
      </c>
      <c r="E529" s="13" t="s">
        <v>25</v>
      </c>
      <c r="F529" s="13">
        <v>10</v>
      </c>
      <c r="G529" s="13">
        <v>6930</v>
      </c>
      <c r="H529" s="13">
        <v>3246.9359999999997</v>
      </c>
    </row>
    <row r="530" spans="1:8" x14ac:dyDescent="0.35">
      <c r="A530" s="11">
        <v>41791</v>
      </c>
      <c r="B530" s="12">
        <v>2007</v>
      </c>
      <c r="C530" s="13" t="s">
        <v>27</v>
      </c>
      <c r="D530" s="13" t="s">
        <v>31</v>
      </c>
      <c r="E530" s="13" t="s">
        <v>29</v>
      </c>
      <c r="F530" s="13">
        <v>9</v>
      </c>
      <c r="G530" s="13">
        <v>11790</v>
      </c>
      <c r="H530" s="13">
        <v>4036.8959999999997</v>
      </c>
    </row>
    <row r="531" spans="1:8" x14ac:dyDescent="0.35">
      <c r="A531" s="11">
        <v>41792</v>
      </c>
      <c r="B531" s="12">
        <v>1643</v>
      </c>
      <c r="C531" s="13" t="s">
        <v>26</v>
      </c>
      <c r="D531" s="13" t="s">
        <v>31</v>
      </c>
      <c r="E531" s="13" t="s">
        <v>25</v>
      </c>
      <c r="F531" s="13">
        <v>6</v>
      </c>
      <c r="G531" s="13">
        <v>2556</v>
      </c>
      <c r="H531" s="13">
        <v>3082.5360000000005</v>
      </c>
    </row>
    <row r="532" spans="1:8" x14ac:dyDescent="0.35">
      <c r="A532" s="11">
        <v>41793</v>
      </c>
      <c r="B532" s="12">
        <v>2008</v>
      </c>
      <c r="C532" s="13" t="s">
        <v>23</v>
      </c>
      <c r="D532" s="13" t="s">
        <v>31</v>
      </c>
      <c r="E532" s="13" t="s">
        <v>29</v>
      </c>
      <c r="F532" s="13">
        <v>6</v>
      </c>
      <c r="G532" s="13">
        <v>4410</v>
      </c>
      <c r="H532" s="13">
        <v>876.92849999999999</v>
      </c>
    </row>
    <row r="533" spans="1:8" x14ac:dyDescent="0.35">
      <c r="A533" s="11">
        <v>41794</v>
      </c>
      <c r="B533" s="12">
        <v>1644</v>
      </c>
      <c r="C533" s="13" t="s">
        <v>27</v>
      </c>
      <c r="D533" s="13" t="s">
        <v>31</v>
      </c>
      <c r="E533" s="13" t="s">
        <v>28</v>
      </c>
      <c r="F533" s="13">
        <v>7</v>
      </c>
      <c r="G533" s="13">
        <v>2856</v>
      </c>
      <c r="H533" s="13">
        <v>3148.74</v>
      </c>
    </row>
    <row r="534" spans="1:8" x14ac:dyDescent="0.35">
      <c r="A534" s="11">
        <v>41795</v>
      </c>
      <c r="B534" s="12">
        <v>2009</v>
      </c>
      <c r="C534" s="13" t="s">
        <v>26</v>
      </c>
      <c r="D534" s="13" t="s">
        <v>31</v>
      </c>
      <c r="E534" s="13" t="s">
        <v>29</v>
      </c>
      <c r="F534" s="13">
        <v>9</v>
      </c>
      <c r="G534" s="13">
        <v>6318</v>
      </c>
      <c r="H534" s="13">
        <v>2062.1951999999997</v>
      </c>
    </row>
    <row r="535" spans="1:8" x14ac:dyDescent="0.35">
      <c r="A535" s="11">
        <v>41796</v>
      </c>
      <c r="B535" s="12">
        <v>1645</v>
      </c>
      <c r="C535" s="13" t="s">
        <v>23</v>
      </c>
      <c r="D535" s="13" t="s">
        <v>31</v>
      </c>
      <c r="E535" s="13" t="s">
        <v>28</v>
      </c>
      <c r="F535" s="13">
        <v>7</v>
      </c>
      <c r="G535" s="13">
        <v>4186</v>
      </c>
      <c r="H535" s="13">
        <v>2015.5590000000002</v>
      </c>
    </row>
    <row r="536" spans="1:8" x14ac:dyDescent="0.35">
      <c r="A536" s="11">
        <v>41797</v>
      </c>
      <c r="B536" s="12">
        <v>2010</v>
      </c>
      <c r="C536" s="13" t="s">
        <v>27</v>
      </c>
      <c r="D536" s="13" t="s">
        <v>31</v>
      </c>
      <c r="E536" s="13" t="s">
        <v>25</v>
      </c>
      <c r="F536" s="13">
        <v>6</v>
      </c>
      <c r="G536" s="13">
        <v>9000</v>
      </c>
      <c r="H536" s="13">
        <v>1546.56</v>
      </c>
    </row>
    <row r="537" spans="1:8" x14ac:dyDescent="0.35">
      <c r="A537" s="11">
        <v>41798</v>
      </c>
      <c r="B537" s="12">
        <v>1646</v>
      </c>
      <c r="C537" s="13" t="s">
        <v>26</v>
      </c>
      <c r="D537" s="13" t="s">
        <v>31</v>
      </c>
      <c r="E537" s="13" t="s">
        <v>28</v>
      </c>
      <c r="F537" s="13">
        <v>9</v>
      </c>
      <c r="G537" s="13">
        <v>11448</v>
      </c>
      <c r="H537" s="13">
        <v>5098.6530000000002</v>
      </c>
    </row>
    <row r="538" spans="1:8" x14ac:dyDescent="0.35">
      <c r="A538" s="11">
        <v>41799</v>
      </c>
      <c r="B538" s="12">
        <v>2011</v>
      </c>
      <c r="C538" s="13" t="s">
        <v>23</v>
      </c>
      <c r="D538" s="13" t="s">
        <v>31</v>
      </c>
      <c r="E538" s="13" t="s">
        <v>25</v>
      </c>
      <c r="F538" s="13">
        <v>9</v>
      </c>
      <c r="G538" s="13">
        <v>14850</v>
      </c>
      <c r="H538" s="13">
        <v>923.07600000000002</v>
      </c>
    </row>
    <row r="539" spans="1:8" x14ac:dyDescent="0.35">
      <c r="A539" s="11">
        <v>41800</v>
      </c>
      <c r="B539" s="12">
        <v>1647</v>
      </c>
      <c r="C539" s="13" t="s">
        <v>27</v>
      </c>
      <c r="D539" s="13" t="s">
        <v>31</v>
      </c>
      <c r="E539" s="13" t="s">
        <v>29</v>
      </c>
      <c r="F539" s="13">
        <v>9</v>
      </c>
      <c r="G539" s="13">
        <v>4941</v>
      </c>
      <c r="H539" s="13">
        <v>998.74080000000004</v>
      </c>
    </row>
    <row r="540" spans="1:8" x14ac:dyDescent="0.35">
      <c r="A540" s="11">
        <v>41801</v>
      </c>
      <c r="B540" s="12">
        <v>2012</v>
      </c>
      <c r="C540" s="13" t="s">
        <v>26</v>
      </c>
      <c r="D540" s="13" t="s">
        <v>31</v>
      </c>
      <c r="E540" s="13" t="s">
        <v>25</v>
      </c>
      <c r="F540" s="13">
        <v>9</v>
      </c>
      <c r="G540" s="13">
        <v>9288</v>
      </c>
      <c r="H540" s="13">
        <v>4353.75</v>
      </c>
    </row>
    <row r="541" spans="1:8" x14ac:dyDescent="0.35">
      <c r="A541" s="11">
        <v>41802</v>
      </c>
      <c r="B541" s="12">
        <v>1648</v>
      </c>
      <c r="C541" s="13" t="s">
        <v>23</v>
      </c>
      <c r="D541" s="13" t="s">
        <v>31</v>
      </c>
      <c r="E541" s="13" t="s">
        <v>29</v>
      </c>
      <c r="F541" s="13">
        <v>7</v>
      </c>
      <c r="G541" s="13">
        <v>8064</v>
      </c>
      <c r="H541" s="13">
        <v>2388.96</v>
      </c>
    </row>
    <row r="542" spans="1:8" x14ac:dyDescent="0.35">
      <c r="A542" s="11">
        <v>41803</v>
      </c>
      <c r="B542" s="12">
        <v>2013</v>
      </c>
      <c r="C542" s="13" t="s">
        <v>27</v>
      </c>
      <c r="D542" s="13" t="s">
        <v>31</v>
      </c>
      <c r="E542" s="13" t="s">
        <v>28</v>
      </c>
      <c r="F542" s="13">
        <v>9</v>
      </c>
      <c r="G542" s="13">
        <v>5751</v>
      </c>
      <c r="H542" s="13">
        <v>718.49160000000006</v>
      </c>
    </row>
    <row r="543" spans="1:8" x14ac:dyDescent="0.35">
      <c r="A543" s="11">
        <v>41804</v>
      </c>
      <c r="B543" s="12">
        <v>1649</v>
      </c>
      <c r="C543" s="13" t="s">
        <v>26</v>
      </c>
      <c r="D543" s="13" t="s">
        <v>31</v>
      </c>
      <c r="E543" s="13" t="s">
        <v>29</v>
      </c>
      <c r="F543" s="13">
        <v>7</v>
      </c>
      <c r="G543" s="13">
        <v>3360</v>
      </c>
      <c r="H543" s="13">
        <v>3539.76</v>
      </c>
    </row>
    <row r="544" spans="1:8" x14ac:dyDescent="0.35">
      <c r="A544" s="11">
        <v>41805</v>
      </c>
      <c r="B544" s="12">
        <v>2014</v>
      </c>
      <c r="C544" s="13" t="s">
        <v>23</v>
      </c>
      <c r="D544" s="13" t="s">
        <v>31</v>
      </c>
      <c r="E544" s="13" t="s">
        <v>28</v>
      </c>
      <c r="F544" s="13">
        <v>7</v>
      </c>
      <c r="G544" s="13">
        <v>5229</v>
      </c>
      <c r="H544" s="13">
        <v>2625.8295000000003</v>
      </c>
    </row>
    <row r="545" spans="1:8" x14ac:dyDescent="0.35">
      <c r="A545" s="11">
        <v>41806</v>
      </c>
      <c r="B545" s="12">
        <v>1650</v>
      </c>
      <c r="C545" s="13" t="s">
        <v>27</v>
      </c>
      <c r="D545" s="13" t="s">
        <v>31</v>
      </c>
      <c r="E545" s="13" t="s">
        <v>25</v>
      </c>
      <c r="F545" s="13">
        <v>7</v>
      </c>
      <c r="G545" s="13">
        <v>1732.5</v>
      </c>
      <c r="H545" s="13">
        <v>690.40125000000012</v>
      </c>
    </row>
    <row r="546" spans="1:8" x14ac:dyDescent="0.35">
      <c r="A546" s="11">
        <v>41807</v>
      </c>
      <c r="B546" s="12">
        <v>2015</v>
      </c>
      <c r="C546" s="13" t="s">
        <v>26</v>
      </c>
      <c r="D546" s="13" t="s">
        <v>31</v>
      </c>
      <c r="E546" s="13" t="s">
        <v>28</v>
      </c>
      <c r="F546" s="13">
        <v>7</v>
      </c>
      <c r="G546" s="13">
        <v>9828</v>
      </c>
      <c r="H546" s="13">
        <v>1585.7477999999999</v>
      </c>
    </row>
    <row r="547" spans="1:8" x14ac:dyDescent="0.35">
      <c r="A547" s="11">
        <v>41808</v>
      </c>
      <c r="B547" s="12">
        <v>1651</v>
      </c>
      <c r="C547" s="13" t="s">
        <v>23</v>
      </c>
      <c r="D547" s="13" t="s">
        <v>31</v>
      </c>
      <c r="E547" s="13" t="s">
        <v>25</v>
      </c>
      <c r="F547" s="13">
        <v>10</v>
      </c>
      <c r="G547" s="13">
        <v>9375</v>
      </c>
      <c r="H547" s="13">
        <v>647.25</v>
      </c>
    </row>
    <row r="548" spans="1:8" x14ac:dyDescent="0.35">
      <c r="A548" s="11">
        <v>41809</v>
      </c>
      <c r="B548" s="12">
        <v>2016</v>
      </c>
      <c r="C548" s="13" t="s">
        <v>27</v>
      </c>
      <c r="D548" s="13" t="s">
        <v>31</v>
      </c>
      <c r="E548" s="13" t="s">
        <v>29</v>
      </c>
      <c r="F548" s="13">
        <v>10</v>
      </c>
      <c r="G548" s="13">
        <v>8560</v>
      </c>
      <c r="H548" s="13">
        <v>2731.0680000000002</v>
      </c>
    </row>
    <row r="549" spans="1:8" x14ac:dyDescent="0.35">
      <c r="A549" s="11">
        <v>41810</v>
      </c>
      <c r="B549" s="12">
        <v>1652</v>
      </c>
      <c r="C549" s="13" t="s">
        <v>26</v>
      </c>
      <c r="D549" s="13" t="s">
        <v>31</v>
      </c>
      <c r="E549" s="13" t="s">
        <v>25</v>
      </c>
      <c r="F549" s="13">
        <v>9</v>
      </c>
      <c r="G549" s="13">
        <v>2331</v>
      </c>
      <c r="H549" s="13">
        <v>3305.3579999999997</v>
      </c>
    </row>
    <row r="550" spans="1:8" x14ac:dyDescent="0.35">
      <c r="A550" s="11">
        <v>41811</v>
      </c>
      <c r="B550" s="12">
        <v>2017</v>
      </c>
      <c r="C550" s="13" t="s">
        <v>23</v>
      </c>
      <c r="D550" s="13" t="s">
        <v>31</v>
      </c>
      <c r="E550" s="13" t="s">
        <v>29</v>
      </c>
      <c r="F550" s="13">
        <v>7</v>
      </c>
      <c r="G550" s="13">
        <v>10878</v>
      </c>
      <c r="H550" s="13">
        <v>3198.9478499999996</v>
      </c>
    </row>
    <row r="551" spans="1:8" x14ac:dyDescent="0.35">
      <c r="A551" s="11">
        <v>41812</v>
      </c>
      <c r="B551" s="12">
        <v>2028</v>
      </c>
      <c r="C551" s="13" t="s">
        <v>27</v>
      </c>
      <c r="D551" s="13" t="s">
        <v>31</v>
      </c>
      <c r="E551" s="13" t="s">
        <v>25</v>
      </c>
      <c r="F551" s="13">
        <v>8</v>
      </c>
      <c r="G551" s="13">
        <v>2832</v>
      </c>
      <c r="H551" s="13">
        <v>5053.7039999999997</v>
      </c>
    </row>
    <row r="552" spans="1:8" x14ac:dyDescent="0.35">
      <c r="A552" s="11">
        <v>41813</v>
      </c>
      <c r="B552" s="12">
        <v>1664</v>
      </c>
      <c r="C552" s="13" t="s">
        <v>26</v>
      </c>
      <c r="D552" s="13" t="s">
        <v>31</v>
      </c>
      <c r="E552" s="13" t="s">
        <v>28</v>
      </c>
      <c r="F552" s="13">
        <v>7</v>
      </c>
      <c r="G552" s="13">
        <v>2425.5</v>
      </c>
      <c r="H552" s="13">
        <v>952.97894999999994</v>
      </c>
    </row>
    <row r="553" spans="1:8" x14ac:dyDescent="0.35">
      <c r="A553" s="11">
        <v>41814</v>
      </c>
      <c r="B553" s="12">
        <v>2029</v>
      </c>
      <c r="C553" s="13" t="s">
        <v>23</v>
      </c>
      <c r="D553" s="13" t="s">
        <v>31</v>
      </c>
      <c r="E553" s="13" t="s">
        <v>25</v>
      </c>
      <c r="F553" s="13">
        <v>7</v>
      </c>
      <c r="G553" s="13">
        <v>2100</v>
      </c>
      <c r="H553" s="13">
        <v>4363.8</v>
      </c>
    </row>
    <row r="554" spans="1:8" x14ac:dyDescent="0.35">
      <c r="A554" s="11">
        <v>41815</v>
      </c>
      <c r="B554" s="12">
        <v>1665</v>
      </c>
      <c r="C554" s="13" t="s">
        <v>27</v>
      </c>
      <c r="D554" s="13" t="s">
        <v>31</v>
      </c>
      <c r="E554" s="13" t="s">
        <v>29</v>
      </c>
      <c r="F554" s="13">
        <v>10</v>
      </c>
      <c r="G554" s="13">
        <v>2740</v>
      </c>
      <c r="H554" s="13">
        <v>1167.5139999999999</v>
      </c>
    </row>
    <row r="555" spans="1:8" x14ac:dyDescent="0.35">
      <c r="A555" s="11">
        <v>41816</v>
      </c>
      <c r="B555" s="12">
        <v>2030</v>
      </c>
      <c r="C555" s="13" t="s">
        <v>26</v>
      </c>
      <c r="D555" s="13" t="s">
        <v>31</v>
      </c>
      <c r="E555" s="13" t="s">
        <v>25</v>
      </c>
      <c r="F555" s="13">
        <v>10</v>
      </c>
      <c r="G555" s="13">
        <v>7470</v>
      </c>
      <c r="H555" s="13">
        <v>4834.335</v>
      </c>
    </row>
    <row r="556" spans="1:8" x14ac:dyDescent="0.35">
      <c r="A556" s="11">
        <v>41817</v>
      </c>
      <c r="B556" s="12">
        <v>1666</v>
      </c>
      <c r="C556" s="13" t="s">
        <v>23</v>
      </c>
      <c r="D556" s="13" t="s">
        <v>31</v>
      </c>
      <c r="E556" s="13" t="s">
        <v>29</v>
      </c>
      <c r="F556" s="13">
        <v>7</v>
      </c>
      <c r="G556" s="13">
        <v>2184</v>
      </c>
      <c r="H556" s="13">
        <v>3318.5880000000002</v>
      </c>
    </row>
    <row r="557" spans="1:8" x14ac:dyDescent="0.35">
      <c r="A557" s="11">
        <v>41818</v>
      </c>
      <c r="B557" s="12">
        <v>2031</v>
      </c>
      <c r="C557" s="13" t="s">
        <v>27</v>
      </c>
      <c r="D557" s="13" t="s">
        <v>31</v>
      </c>
      <c r="E557" s="13" t="s">
        <v>28</v>
      </c>
      <c r="F557" s="13">
        <v>9</v>
      </c>
      <c r="G557" s="13">
        <v>5386.5</v>
      </c>
      <c r="H557" s="13">
        <v>3093.6464999999998</v>
      </c>
    </row>
    <row r="558" spans="1:8" x14ac:dyDescent="0.35">
      <c r="A558" s="11">
        <v>41819</v>
      </c>
      <c r="B558" s="12">
        <v>1667</v>
      </c>
      <c r="C558" s="13" t="s">
        <v>26</v>
      </c>
      <c r="D558" s="13" t="s">
        <v>31</v>
      </c>
      <c r="E558" s="13" t="s">
        <v>29</v>
      </c>
      <c r="F558" s="13">
        <v>6</v>
      </c>
      <c r="G558" s="13">
        <v>11295</v>
      </c>
      <c r="H558" s="13">
        <v>2857.1831999999995</v>
      </c>
    </row>
    <row r="559" spans="1:8" x14ac:dyDescent="0.35">
      <c r="A559" s="11">
        <v>41820</v>
      </c>
      <c r="B559" s="12">
        <v>2032</v>
      </c>
      <c r="C559" s="13" t="s">
        <v>23</v>
      </c>
      <c r="D559" s="13" t="s">
        <v>31</v>
      </c>
      <c r="E559" s="13" t="s">
        <v>28</v>
      </c>
      <c r="F559" s="13">
        <v>10</v>
      </c>
      <c r="G559" s="13">
        <v>10125</v>
      </c>
      <c r="H559" s="13">
        <v>4255.5374999999995</v>
      </c>
    </row>
    <row r="560" spans="1:8" x14ac:dyDescent="0.35">
      <c r="A560" s="11">
        <v>41821</v>
      </c>
      <c r="B560" s="12">
        <v>1668</v>
      </c>
      <c r="C560" s="13" t="s">
        <v>27</v>
      </c>
      <c r="D560" s="13" t="s">
        <v>31</v>
      </c>
      <c r="E560" s="13" t="s">
        <v>25</v>
      </c>
      <c r="F560" s="13">
        <v>7</v>
      </c>
      <c r="G560" s="13">
        <v>1669.5</v>
      </c>
      <c r="H560" s="13">
        <v>3289.7497500000004</v>
      </c>
    </row>
    <row r="561" spans="1:8" x14ac:dyDescent="0.35">
      <c r="A561" s="11">
        <v>41822</v>
      </c>
      <c r="B561" s="12">
        <v>2033</v>
      </c>
      <c r="C561" s="13" t="s">
        <v>26</v>
      </c>
      <c r="D561" s="13" t="s">
        <v>31</v>
      </c>
      <c r="E561" s="13" t="s">
        <v>28</v>
      </c>
      <c r="F561" s="13">
        <v>8</v>
      </c>
      <c r="G561" s="13">
        <v>6888</v>
      </c>
      <c r="H561" s="13">
        <v>784.77279999999996</v>
      </c>
    </row>
    <row r="562" spans="1:8" x14ac:dyDescent="0.35">
      <c r="A562" s="11">
        <v>41823</v>
      </c>
      <c r="B562" s="12">
        <v>1669</v>
      </c>
      <c r="C562" s="13" t="s">
        <v>23</v>
      </c>
      <c r="D562" s="13" t="s">
        <v>31</v>
      </c>
      <c r="E562" s="13" t="s">
        <v>25</v>
      </c>
      <c r="F562" s="13">
        <v>8</v>
      </c>
      <c r="G562" s="13">
        <v>1872</v>
      </c>
      <c r="H562" s="13">
        <v>1362.816</v>
      </c>
    </row>
    <row r="563" spans="1:8" x14ac:dyDescent="0.35">
      <c r="A563" s="11">
        <v>41824</v>
      </c>
      <c r="B563" s="12">
        <v>2034</v>
      </c>
      <c r="C563" s="13" t="s">
        <v>27</v>
      </c>
      <c r="D563" s="13" t="s">
        <v>31</v>
      </c>
      <c r="E563" s="13" t="s">
        <v>29</v>
      </c>
      <c r="F563" s="13">
        <v>10</v>
      </c>
      <c r="G563" s="13">
        <v>6615</v>
      </c>
      <c r="H563" s="13">
        <v>3328.4474999999998</v>
      </c>
    </row>
    <row r="564" spans="1:8" x14ac:dyDescent="0.35">
      <c r="A564" s="11">
        <v>41825</v>
      </c>
      <c r="B564" s="12">
        <v>1670</v>
      </c>
      <c r="C564" s="13" t="s">
        <v>26</v>
      </c>
      <c r="D564" s="13" t="s">
        <v>31</v>
      </c>
      <c r="E564" s="13" t="s">
        <v>25</v>
      </c>
      <c r="F564" s="13">
        <v>8</v>
      </c>
      <c r="G564" s="13">
        <v>8960</v>
      </c>
      <c r="H564" s="13">
        <v>3458.56</v>
      </c>
    </row>
    <row r="565" spans="1:8" x14ac:dyDescent="0.35">
      <c r="A565" s="11">
        <v>41826</v>
      </c>
      <c r="B565" s="12">
        <v>2035</v>
      </c>
      <c r="C565" s="13" t="s">
        <v>23</v>
      </c>
      <c r="D565" s="13" t="s">
        <v>31</v>
      </c>
      <c r="E565" s="13" t="s">
        <v>29</v>
      </c>
      <c r="F565" s="13">
        <v>9</v>
      </c>
      <c r="G565" s="13">
        <v>6507</v>
      </c>
      <c r="H565" s="13">
        <v>935.05589999999995</v>
      </c>
    </row>
    <row r="566" spans="1:8" x14ac:dyDescent="0.35">
      <c r="A566" s="11">
        <v>41827</v>
      </c>
      <c r="B566" s="12">
        <v>1671</v>
      </c>
      <c r="C566" s="13" t="s">
        <v>27</v>
      </c>
      <c r="D566" s="13" t="s">
        <v>31</v>
      </c>
      <c r="E566" s="13" t="s">
        <v>28</v>
      </c>
      <c r="F566" s="13">
        <v>6</v>
      </c>
      <c r="G566" s="13">
        <v>1764</v>
      </c>
      <c r="H566" s="13">
        <v>1461.2975999999999</v>
      </c>
    </row>
    <row r="567" spans="1:8" x14ac:dyDescent="0.35">
      <c r="A567" s="11">
        <v>41828</v>
      </c>
      <c r="B567" s="12">
        <v>2036</v>
      </c>
      <c r="C567" s="13" t="s">
        <v>26</v>
      </c>
      <c r="D567" s="13" t="s">
        <v>31</v>
      </c>
      <c r="E567" s="13" t="s">
        <v>29</v>
      </c>
      <c r="F567" s="13">
        <v>9</v>
      </c>
      <c r="G567" s="13">
        <v>1512</v>
      </c>
      <c r="H567" s="13">
        <v>2084.1408000000001</v>
      </c>
    </row>
    <row r="568" spans="1:8" x14ac:dyDescent="0.35">
      <c r="A568" s="11">
        <v>41829</v>
      </c>
      <c r="B568" s="12">
        <v>1672</v>
      </c>
      <c r="C568" s="13" t="s">
        <v>23</v>
      </c>
      <c r="D568" s="13" t="s">
        <v>31</v>
      </c>
      <c r="E568" s="13" t="s">
        <v>28</v>
      </c>
      <c r="F568" s="13">
        <v>6</v>
      </c>
      <c r="G568" s="13">
        <v>12285</v>
      </c>
      <c r="H568" s="13">
        <v>1660.932</v>
      </c>
    </row>
    <row r="569" spans="1:8" x14ac:dyDescent="0.35">
      <c r="A569" s="11">
        <v>40909</v>
      </c>
      <c r="B569" s="12">
        <v>2037</v>
      </c>
      <c r="C569" s="13" t="s">
        <v>27</v>
      </c>
      <c r="D569" s="13" t="s">
        <v>32</v>
      </c>
      <c r="E569" s="13" t="s">
        <v>25</v>
      </c>
      <c r="F569" s="13">
        <v>7</v>
      </c>
      <c r="G569" s="13">
        <v>10552.5</v>
      </c>
      <c r="H569" s="13">
        <v>2600.9802</v>
      </c>
    </row>
    <row r="570" spans="1:8" x14ac:dyDescent="0.35">
      <c r="A570" s="11">
        <v>40910</v>
      </c>
      <c r="B570" s="12">
        <v>1673</v>
      </c>
      <c r="C570" s="13" t="s">
        <v>26</v>
      </c>
      <c r="D570" s="13" t="s">
        <v>32</v>
      </c>
      <c r="E570" s="13" t="s">
        <v>28</v>
      </c>
      <c r="F570" s="13">
        <v>8</v>
      </c>
      <c r="G570" s="13">
        <v>6528</v>
      </c>
      <c r="H570" s="13">
        <v>3850.4320000000002</v>
      </c>
    </row>
    <row r="571" spans="1:8" x14ac:dyDescent="0.35">
      <c r="A571" s="11">
        <v>40911</v>
      </c>
      <c r="B571" s="12">
        <v>2038</v>
      </c>
      <c r="C571" s="13" t="s">
        <v>23</v>
      </c>
      <c r="D571" s="13" t="s">
        <v>32</v>
      </c>
      <c r="E571" s="13" t="s">
        <v>25</v>
      </c>
      <c r="F571" s="13">
        <v>7</v>
      </c>
      <c r="G571" s="13">
        <v>10710</v>
      </c>
      <c r="H571" s="13">
        <v>1105.5397499999999</v>
      </c>
    </row>
    <row r="572" spans="1:8" x14ac:dyDescent="0.35">
      <c r="A572" s="11">
        <v>40913</v>
      </c>
      <c r="B572" s="12">
        <v>1674</v>
      </c>
      <c r="C572" s="13" t="s">
        <v>27</v>
      </c>
      <c r="D572" s="13" t="s">
        <v>32</v>
      </c>
      <c r="E572" s="13" t="s">
        <v>29</v>
      </c>
      <c r="F572" s="13">
        <v>10</v>
      </c>
      <c r="G572" s="13">
        <v>10000</v>
      </c>
      <c r="H572" s="13">
        <v>1871.4</v>
      </c>
    </row>
    <row r="573" spans="1:8" x14ac:dyDescent="0.35">
      <c r="A573" s="11">
        <v>40914</v>
      </c>
      <c r="B573" s="12">
        <v>2039</v>
      </c>
      <c r="C573" s="13" t="s">
        <v>26</v>
      </c>
      <c r="D573" s="13" t="s">
        <v>32</v>
      </c>
      <c r="E573" s="13" t="s">
        <v>25</v>
      </c>
      <c r="F573" s="13">
        <v>9</v>
      </c>
      <c r="G573" s="13">
        <v>9045</v>
      </c>
      <c r="H573" s="13">
        <v>545.95619999999997</v>
      </c>
    </row>
    <row r="574" spans="1:8" x14ac:dyDescent="0.35">
      <c r="A574" s="11">
        <v>40915</v>
      </c>
      <c r="B574" s="12">
        <v>1675</v>
      </c>
      <c r="C574" s="13" t="s">
        <v>23</v>
      </c>
      <c r="D574" s="13" t="s">
        <v>32</v>
      </c>
      <c r="E574" s="13" t="s">
        <v>29</v>
      </c>
      <c r="F574" s="13">
        <v>10</v>
      </c>
      <c r="G574" s="13">
        <v>10800</v>
      </c>
      <c r="H574" s="13">
        <v>5366.25</v>
      </c>
    </row>
    <row r="575" spans="1:8" x14ac:dyDescent="0.35">
      <c r="A575" s="11">
        <v>40916</v>
      </c>
      <c r="B575" s="12">
        <v>2040</v>
      </c>
      <c r="C575" s="13" t="s">
        <v>27</v>
      </c>
      <c r="D575" s="13" t="s">
        <v>32</v>
      </c>
      <c r="E575" s="13" t="s">
        <v>28</v>
      </c>
      <c r="F575" s="13">
        <v>8</v>
      </c>
      <c r="G575" s="13">
        <v>9248</v>
      </c>
      <c r="H575" s="13">
        <v>985.14319999999998</v>
      </c>
    </row>
    <row r="576" spans="1:8" x14ac:dyDescent="0.35">
      <c r="A576" s="11">
        <v>40917</v>
      </c>
      <c r="B576" s="12">
        <v>1676</v>
      </c>
      <c r="C576" s="13" t="s">
        <v>26</v>
      </c>
      <c r="D576" s="13" t="s">
        <v>32</v>
      </c>
      <c r="E576" s="13" t="s">
        <v>29</v>
      </c>
      <c r="F576" s="13">
        <v>8</v>
      </c>
      <c r="G576" s="13">
        <v>4496</v>
      </c>
      <c r="H576" s="13">
        <v>2526.9767999999995</v>
      </c>
    </row>
    <row r="577" spans="1:8" x14ac:dyDescent="0.35">
      <c r="A577" s="11">
        <v>40918</v>
      </c>
      <c r="B577" s="12">
        <v>2041</v>
      </c>
      <c r="C577" s="13" t="s">
        <v>23</v>
      </c>
      <c r="D577" s="13" t="s">
        <v>32</v>
      </c>
      <c r="E577" s="13" t="s">
        <v>28</v>
      </c>
      <c r="F577" s="13">
        <v>9</v>
      </c>
      <c r="G577" s="13">
        <v>7074</v>
      </c>
      <c r="H577" s="13">
        <v>3631.6147499999997</v>
      </c>
    </row>
    <row r="578" spans="1:8" x14ac:dyDescent="0.35">
      <c r="A578" s="11">
        <v>40919</v>
      </c>
      <c r="B578" s="12">
        <v>1677</v>
      </c>
      <c r="C578" s="13" t="s">
        <v>27</v>
      </c>
      <c r="D578" s="13" t="s">
        <v>32</v>
      </c>
      <c r="E578" s="13" t="s">
        <v>25</v>
      </c>
      <c r="F578" s="13">
        <v>6</v>
      </c>
      <c r="G578" s="13">
        <v>2223</v>
      </c>
      <c r="H578" s="13">
        <v>1443.1716000000001</v>
      </c>
    </row>
    <row r="579" spans="1:8" x14ac:dyDescent="0.35">
      <c r="A579" s="11">
        <v>40920</v>
      </c>
      <c r="B579" s="12">
        <v>2042</v>
      </c>
      <c r="C579" s="13" t="s">
        <v>26</v>
      </c>
      <c r="D579" s="13" t="s">
        <v>32</v>
      </c>
      <c r="E579" s="13" t="s">
        <v>28</v>
      </c>
      <c r="F579" s="13">
        <v>10</v>
      </c>
      <c r="G579" s="13">
        <v>1920</v>
      </c>
      <c r="H579" s="13">
        <v>1381.248</v>
      </c>
    </row>
    <row r="580" spans="1:8" x14ac:dyDescent="0.35">
      <c r="A580" s="11">
        <v>40921</v>
      </c>
      <c r="B580" s="12">
        <v>1678</v>
      </c>
      <c r="C580" s="13" t="s">
        <v>23</v>
      </c>
      <c r="D580" s="13" t="s">
        <v>32</v>
      </c>
      <c r="E580" s="13" t="s">
        <v>25</v>
      </c>
      <c r="F580" s="13">
        <v>9</v>
      </c>
      <c r="G580" s="13">
        <v>4428</v>
      </c>
      <c r="H580" s="13">
        <v>2357.2458000000001</v>
      </c>
    </row>
    <row r="581" spans="1:8" x14ac:dyDescent="0.35">
      <c r="A581" s="11">
        <v>40922</v>
      </c>
      <c r="B581" s="12">
        <v>2043</v>
      </c>
      <c r="C581" s="13" t="s">
        <v>27</v>
      </c>
      <c r="D581" s="13" t="s">
        <v>32</v>
      </c>
      <c r="E581" s="13" t="s">
        <v>29</v>
      </c>
      <c r="F581" s="13">
        <v>9</v>
      </c>
      <c r="G581" s="13">
        <v>3834</v>
      </c>
      <c r="H581" s="13">
        <v>2080.7118</v>
      </c>
    </row>
    <row r="582" spans="1:8" x14ac:dyDescent="0.35">
      <c r="A582" s="11">
        <v>40923</v>
      </c>
      <c r="B582" s="12">
        <v>1679</v>
      </c>
      <c r="C582" s="13" t="s">
        <v>26</v>
      </c>
      <c r="D582" s="13" t="s">
        <v>32</v>
      </c>
      <c r="E582" s="13" t="s">
        <v>25</v>
      </c>
      <c r="F582" s="13">
        <v>8</v>
      </c>
      <c r="G582" s="13">
        <v>7704</v>
      </c>
      <c r="H582" s="13">
        <v>1808.5139999999999</v>
      </c>
    </row>
    <row r="583" spans="1:8" x14ac:dyDescent="0.35">
      <c r="A583" s="11">
        <v>40924</v>
      </c>
      <c r="B583" s="12">
        <v>2044</v>
      </c>
      <c r="C583" s="13" t="s">
        <v>23</v>
      </c>
      <c r="D583" s="13" t="s">
        <v>32</v>
      </c>
      <c r="E583" s="13" t="s">
        <v>29</v>
      </c>
      <c r="F583" s="13">
        <v>7</v>
      </c>
      <c r="G583" s="13">
        <v>4788</v>
      </c>
      <c r="H583" s="13">
        <v>3173.6459999999997</v>
      </c>
    </row>
    <row r="584" spans="1:8" x14ac:dyDescent="0.35">
      <c r="A584" s="11">
        <v>40925</v>
      </c>
      <c r="B584" s="12">
        <v>1680</v>
      </c>
      <c r="C584" s="13" t="s">
        <v>27</v>
      </c>
      <c r="D584" s="13" t="s">
        <v>32</v>
      </c>
      <c r="E584" s="13" t="s">
        <v>28</v>
      </c>
      <c r="F584" s="13">
        <v>8</v>
      </c>
      <c r="G584" s="13">
        <v>6696</v>
      </c>
      <c r="H584" s="13">
        <v>1755.2447999999999</v>
      </c>
    </row>
    <row r="585" spans="1:8" x14ac:dyDescent="0.35">
      <c r="A585" s="11">
        <v>40926</v>
      </c>
      <c r="B585" s="12">
        <v>2045</v>
      </c>
      <c r="C585" s="13" t="s">
        <v>26</v>
      </c>
      <c r="D585" s="13" t="s">
        <v>32</v>
      </c>
      <c r="E585" s="13" t="s">
        <v>29</v>
      </c>
      <c r="F585" s="13">
        <v>10</v>
      </c>
      <c r="G585" s="13">
        <v>4500</v>
      </c>
      <c r="H585" s="13">
        <v>1598.4</v>
      </c>
    </row>
    <row r="586" spans="1:8" x14ac:dyDescent="0.35">
      <c r="A586" s="11">
        <v>40927</v>
      </c>
      <c r="B586" s="12">
        <v>1681</v>
      </c>
      <c r="C586" s="13" t="s">
        <v>23</v>
      </c>
      <c r="D586" s="13" t="s">
        <v>32</v>
      </c>
      <c r="E586" s="13" t="s">
        <v>28</v>
      </c>
      <c r="F586" s="13">
        <v>8</v>
      </c>
      <c r="G586" s="13">
        <v>11280</v>
      </c>
      <c r="H586" s="13">
        <v>3959.2799999999997</v>
      </c>
    </row>
    <row r="587" spans="1:8" x14ac:dyDescent="0.35">
      <c r="A587" s="11">
        <v>40928</v>
      </c>
      <c r="B587" s="12">
        <v>1682</v>
      </c>
      <c r="C587" s="13" t="s">
        <v>26</v>
      </c>
      <c r="D587" s="13" t="s">
        <v>32</v>
      </c>
      <c r="E587" s="13" t="s">
        <v>28</v>
      </c>
      <c r="F587" s="13">
        <v>10</v>
      </c>
      <c r="G587" s="13">
        <v>8175</v>
      </c>
      <c r="H587" s="13">
        <v>2451.846</v>
      </c>
    </row>
    <row r="588" spans="1:8" x14ac:dyDescent="0.35">
      <c r="A588" s="11">
        <v>40929</v>
      </c>
      <c r="B588" s="12">
        <v>1683</v>
      </c>
      <c r="C588" s="13" t="s">
        <v>27</v>
      </c>
      <c r="D588" s="13" t="s">
        <v>32</v>
      </c>
      <c r="E588" s="13" t="s">
        <v>29</v>
      </c>
      <c r="F588" s="13">
        <v>8</v>
      </c>
      <c r="G588" s="13">
        <v>6912</v>
      </c>
      <c r="H588" s="13">
        <v>3209.0111999999999</v>
      </c>
    </row>
    <row r="589" spans="1:8" x14ac:dyDescent="0.35">
      <c r="A589" s="11">
        <v>40930</v>
      </c>
      <c r="B589" s="12">
        <v>1684</v>
      </c>
      <c r="C589" s="13" t="s">
        <v>23</v>
      </c>
      <c r="D589" s="13" t="s">
        <v>32</v>
      </c>
      <c r="E589" s="13" t="s">
        <v>29</v>
      </c>
      <c r="F589" s="13">
        <v>10</v>
      </c>
      <c r="G589" s="13">
        <v>9525</v>
      </c>
      <c r="H589" s="13">
        <v>3088.9575000000004</v>
      </c>
    </row>
    <row r="590" spans="1:8" x14ac:dyDescent="0.35">
      <c r="A590" s="11">
        <v>40931</v>
      </c>
      <c r="B590" s="12">
        <v>1685</v>
      </c>
      <c r="C590" s="13" t="s">
        <v>26</v>
      </c>
      <c r="D590" s="13" t="s">
        <v>32</v>
      </c>
      <c r="E590" s="13" t="s">
        <v>29</v>
      </c>
      <c r="F590" s="13">
        <v>10</v>
      </c>
      <c r="G590" s="13">
        <v>8955</v>
      </c>
      <c r="H590" s="13">
        <v>1049.2275</v>
      </c>
    </row>
    <row r="591" spans="1:8" x14ac:dyDescent="0.35">
      <c r="A591" s="11">
        <v>40932</v>
      </c>
      <c r="B591" s="12">
        <v>2055</v>
      </c>
      <c r="C591" s="13" t="s">
        <v>27</v>
      </c>
      <c r="D591" s="13" t="s">
        <v>32</v>
      </c>
      <c r="E591" s="13" t="s">
        <v>25</v>
      </c>
      <c r="F591" s="13">
        <v>10</v>
      </c>
      <c r="G591" s="13">
        <v>10100</v>
      </c>
      <c r="H591" s="13">
        <v>1452.7839999999999</v>
      </c>
    </row>
    <row r="592" spans="1:8" x14ac:dyDescent="0.35">
      <c r="A592" s="11">
        <v>40933</v>
      </c>
      <c r="B592" s="12">
        <v>2056</v>
      </c>
      <c r="C592" s="13" t="s">
        <v>23</v>
      </c>
      <c r="D592" s="13" t="s">
        <v>32</v>
      </c>
      <c r="E592" s="13" t="s">
        <v>25</v>
      </c>
      <c r="F592" s="13">
        <v>10</v>
      </c>
      <c r="G592" s="13">
        <v>8280</v>
      </c>
      <c r="H592" s="13">
        <v>3417.57</v>
      </c>
    </row>
    <row r="593" spans="1:8" x14ac:dyDescent="0.35">
      <c r="A593" s="11">
        <v>40934</v>
      </c>
      <c r="B593" s="12">
        <v>2057</v>
      </c>
      <c r="C593" s="13" t="s">
        <v>26</v>
      </c>
      <c r="D593" s="13" t="s">
        <v>32</v>
      </c>
      <c r="E593" s="13" t="s">
        <v>25</v>
      </c>
      <c r="F593" s="13">
        <v>9</v>
      </c>
      <c r="G593" s="13">
        <v>6831</v>
      </c>
      <c r="H593" s="13">
        <v>4264.8209999999999</v>
      </c>
    </row>
    <row r="594" spans="1:8" x14ac:dyDescent="0.35">
      <c r="A594" s="11">
        <v>40935</v>
      </c>
      <c r="B594" s="12">
        <v>2058</v>
      </c>
      <c r="C594" s="13" t="s">
        <v>27</v>
      </c>
      <c r="D594" s="13" t="s">
        <v>32</v>
      </c>
      <c r="E594" s="13" t="s">
        <v>28</v>
      </c>
      <c r="F594" s="13">
        <v>6</v>
      </c>
      <c r="G594" s="13">
        <v>1444.5</v>
      </c>
      <c r="H594" s="13">
        <v>1412.721</v>
      </c>
    </row>
    <row r="595" spans="1:8" x14ac:dyDescent="0.35">
      <c r="A595" s="11">
        <v>40936</v>
      </c>
      <c r="B595" s="12">
        <v>2059</v>
      </c>
      <c r="C595" s="13" t="s">
        <v>23</v>
      </c>
      <c r="D595" s="13" t="s">
        <v>32</v>
      </c>
      <c r="E595" s="13" t="s">
        <v>28</v>
      </c>
      <c r="F595" s="13">
        <v>8</v>
      </c>
      <c r="G595" s="13">
        <v>8688</v>
      </c>
      <c r="H595" s="13">
        <v>1366.6224</v>
      </c>
    </row>
    <row r="596" spans="1:8" x14ac:dyDescent="0.35">
      <c r="A596" s="11">
        <v>40937</v>
      </c>
      <c r="B596" s="12">
        <v>1695</v>
      </c>
      <c r="C596" s="13" t="s">
        <v>27</v>
      </c>
      <c r="D596" s="13" t="s">
        <v>32</v>
      </c>
      <c r="E596" s="13" t="s">
        <v>25</v>
      </c>
      <c r="F596" s="13">
        <v>10</v>
      </c>
      <c r="G596" s="13">
        <v>4545</v>
      </c>
      <c r="H596" s="13">
        <v>1736.19</v>
      </c>
    </row>
    <row r="597" spans="1:8" x14ac:dyDescent="0.35">
      <c r="A597" s="11">
        <v>40938</v>
      </c>
      <c r="B597" s="12">
        <v>2060</v>
      </c>
      <c r="C597" s="13" t="s">
        <v>26</v>
      </c>
      <c r="D597" s="13" t="s">
        <v>32</v>
      </c>
      <c r="E597" s="13" t="s">
        <v>28</v>
      </c>
      <c r="F597" s="13">
        <v>6</v>
      </c>
      <c r="G597" s="13">
        <v>7605</v>
      </c>
      <c r="H597" s="13">
        <v>948.7998</v>
      </c>
    </row>
    <row r="598" spans="1:8" x14ac:dyDescent="0.35">
      <c r="A598" s="11">
        <v>40939</v>
      </c>
      <c r="B598" s="12">
        <v>1696</v>
      </c>
      <c r="C598" s="13" t="s">
        <v>23</v>
      </c>
      <c r="D598" s="13" t="s">
        <v>32</v>
      </c>
      <c r="E598" s="13" t="s">
        <v>25</v>
      </c>
      <c r="F598" s="13">
        <v>9</v>
      </c>
      <c r="G598" s="13">
        <v>2497.5</v>
      </c>
      <c r="H598" s="13">
        <v>1824.6735000000001</v>
      </c>
    </row>
    <row r="599" spans="1:8" x14ac:dyDescent="0.35">
      <c r="A599" s="11">
        <v>40940</v>
      </c>
      <c r="B599" s="12">
        <v>2061</v>
      </c>
      <c r="C599" s="13" t="s">
        <v>27</v>
      </c>
      <c r="D599" s="13" t="s">
        <v>32</v>
      </c>
      <c r="E599" s="13" t="s">
        <v>29</v>
      </c>
      <c r="F599" s="13">
        <v>9</v>
      </c>
      <c r="G599" s="13">
        <v>12510</v>
      </c>
      <c r="H599" s="13">
        <v>754.35299999999995</v>
      </c>
    </row>
    <row r="600" spans="1:8" x14ac:dyDescent="0.35">
      <c r="A600" s="11">
        <v>40941</v>
      </c>
      <c r="B600" s="12">
        <v>1697</v>
      </c>
      <c r="C600" s="13" t="s">
        <v>26</v>
      </c>
      <c r="D600" s="13" t="s">
        <v>32</v>
      </c>
      <c r="E600" s="13" t="s">
        <v>25</v>
      </c>
      <c r="F600" s="13">
        <v>7</v>
      </c>
      <c r="G600" s="13">
        <v>2404.5</v>
      </c>
      <c r="H600" s="13">
        <v>1045.4766</v>
      </c>
    </row>
    <row r="601" spans="1:8" x14ac:dyDescent="0.35">
      <c r="A601" s="11">
        <v>40942</v>
      </c>
      <c r="B601" s="12">
        <v>2062</v>
      </c>
      <c r="C601" s="13" t="s">
        <v>23</v>
      </c>
      <c r="D601" s="13" t="s">
        <v>32</v>
      </c>
      <c r="E601" s="13" t="s">
        <v>29</v>
      </c>
      <c r="F601" s="13">
        <v>9</v>
      </c>
      <c r="G601" s="13">
        <v>10665</v>
      </c>
      <c r="H601" s="13">
        <v>868.13099999999986</v>
      </c>
    </row>
    <row r="602" spans="1:8" x14ac:dyDescent="0.35">
      <c r="A602" s="11">
        <v>40943</v>
      </c>
      <c r="B602" s="12">
        <v>1698</v>
      </c>
      <c r="C602" s="13" t="s">
        <v>27</v>
      </c>
      <c r="D602" s="13" t="s">
        <v>32</v>
      </c>
      <c r="E602" s="13" t="s">
        <v>28</v>
      </c>
      <c r="F602" s="13">
        <v>7</v>
      </c>
      <c r="G602" s="13">
        <v>1685.25</v>
      </c>
      <c r="H602" s="13">
        <v>1372.4675999999999</v>
      </c>
    </row>
    <row r="603" spans="1:8" x14ac:dyDescent="0.35">
      <c r="A603" s="11">
        <v>40944</v>
      </c>
      <c r="B603" s="12">
        <v>2063</v>
      </c>
      <c r="C603" s="13" t="s">
        <v>26</v>
      </c>
      <c r="D603" s="13" t="s">
        <v>32</v>
      </c>
      <c r="E603" s="13" t="s">
        <v>29</v>
      </c>
      <c r="F603" s="13">
        <v>9</v>
      </c>
      <c r="G603" s="13">
        <v>10692</v>
      </c>
      <c r="H603" s="13">
        <v>2301.453</v>
      </c>
    </row>
    <row r="604" spans="1:8" x14ac:dyDescent="0.35">
      <c r="A604" s="11">
        <v>40945</v>
      </c>
      <c r="B604" s="12">
        <v>1699</v>
      </c>
      <c r="C604" s="13" t="s">
        <v>23</v>
      </c>
      <c r="D604" s="13" t="s">
        <v>32</v>
      </c>
      <c r="E604" s="13" t="s">
        <v>28</v>
      </c>
      <c r="F604" s="13">
        <v>8</v>
      </c>
      <c r="G604" s="13">
        <v>1512</v>
      </c>
      <c r="H604" s="13">
        <v>1312.4159999999999</v>
      </c>
    </row>
    <row r="605" spans="1:8" x14ac:dyDescent="0.35">
      <c r="A605" s="11">
        <v>40946</v>
      </c>
      <c r="B605" s="12">
        <v>2064</v>
      </c>
      <c r="C605" s="13" t="s">
        <v>27</v>
      </c>
      <c r="D605" s="13" t="s">
        <v>32</v>
      </c>
      <c r="E605" s="13" t="s">
        <v>25</v>
      </c>
      <c r="F605" s="13">
        <v>8</v>
      </c>
      <c r="G605" s="13">
        <v>4428</v>
      </c>
      <c r="H605" s="13">
        <v>3605.4989999999998</v>
      </c>
    </row>
    <row r="606" spans="1:8" x14ac:dyDescent="0.35">
      <c r="A606" s="11">
        <v>40947</v>
      </c>
      <c r="B606" s="12">
        <v>1700</v>
      </c>
      <c r="C606" s="13" t="s">
        <v>26</v>
      </c>
      <c r="D606" s="13" t="s">
        <v>32</v>
      </c>
      <c r="E606" s="13" t="s">
        <v>28</v>
      </c>
      <c r="F606" s="13">
        <v>10</v>
      </c>
      <c r="G606" s="13">
        <v>2580</v>
      </c>
      <c r="H606" s="13">
        <v>2085.1559999999999</v>
      </c>
    </row>
    <row r="607" spans="1:8" x14ac:dyDescent="0.35">
      <c r="A607" s="11">
        <v>40948</v>
      </c>
      <c r="B607" s="12">
        <v>2065</v>
      </c>
      <c r="C607" s="13" t="s">
        <v>23</v>
      </c>
      <c r="D607" s="13" t="s">
        <v>32</v>
      </c>
      <c r="E607" s="13" t="s">
        <v>25</v>
      </c>
      <c r="F607" s="13">
        <v>7</v>
      </c>
      <c r="G607" s="13">
        <v>5712</v>
      </c>
      <c r="H607" s="13">
        <v>1753.0128000000002</v>
      </c>
    </row>
    <row r="608" spans="1:8" x14ac:dyDescent="0.35">
      <c r="A608" s="11">
        <v>40949</v>
      </c>
      <c r="B608" s="12">
        <v>1701</v>
      </c>
      <c r="C608" s="13" t="s">
        <v>27</v>
      </c>
      <c r="D608" s="13" t="s">
        <v>32</v>
      </c>
      <c r="E608" s="13" t="s">
        <v>29</v>
      </c>
      <c r="F608" s="13">
        <v>7</v>
      </c>
      <c r="G608" s="13">
        <v>8379</v>
      </c>
      <c r="H608" s="13">
        <v>4282.2275999999993</v>
      </c>
    </row>
    <row r="609" spans="1:8" x14ac:dyDescent="0.35">
      <c r="A609" s="11">
        <v>40950</v>
      </c>
      <c r="B609" s="12">
        <v>2066</v>
      </c>
      <c r="C609" s="13" t="s">
        <v>26</v>
      </c>
      <c r="D609" s="13" t="s">
        <v>32</v>
      </c>
      <c r="E609" s="13" t="s">
        <v>25</v>
      </c>
      <c r="F609" s="13">
        <v>7</v>
      </c>
      <c r="G609" s="13">
        <v>8662.5</v>
      </c>
      <c r="H609" s="13">
        <v>5223.4875000000002</v>
      </c>
    </row>
    <row r="610" spans="1:8" x14ac:dyDescent="0.35">
      <c r="A610" s="11">
        <v>40951</v>
      </c>
      <c r="B610" s="12">
        <v>1702</v>
      </c>
      <c r="C610" s="13" t="s">
        <v>23</v>
      </c>
      <c r="D610" s="13" t="s">
        <v>32</v>
      </c>
      <c r="E610" s="13" t="s">
        <v>29</v>
      </c>
      <c r="F610" s="13">
        <v>6</v>
      </c>
      <c r="G610" s="13">
        <v>12285</v>
      </c>
      <c r="H610" s="13">
        <v>4660.9290000000001</v>
      </c>
    </row>
    <row r="611" spans="1:8" x14ac:dyDescent="0.35">
      <c r="A611" s="11">
        <v>40952</v>
      </c>
      <c r="B611" s="12">
        <v>2067</v>
      </c>
      <c r="C611" s="13" t="s">
        <v>27</v>
      </c>
      <c r="D611" s="13" t="s">
        <v>32</v>
      </c>
      <c r="E611" s="13" t="s">
        <v>28</v>
      </c>
      <c r="F611" s="13">
        <v>8</v>
      </c>
      <c r="G611" s="13">
        <v>9600</v>
      </c>
      <c r="H611" s="13">
        <v>739.92000000000007</v>
      </c>
    </row>
    <row r="612" spans="1:8" x14ac:dyDescent="0.35">
      <c r="A612" s="11">
        <v>40953</v>
      </c>
      <c r="B612" s="12">
        <v>1703</v>
      </c>
      <c r="C612" s="13" t="s">
        <v>26</v>
      </c>
      <c r="D612" s="13" t="s">
        <v>32</v>
      </c>
      <c r="E612" s="13" t="s">
        <v>29</v>
      </c>
      <c r="F612" s="13">
        <v>10</v>
      </c>
      <c r="G612" s="13">
        <v>12825</v>
      </c>
      <c r="H612" s="13">
        <v>2907.9405000000002</v>
      </c>
    </row>
    <row r="613" spans="1:8" x14ac:dyDescent="0.35">
      <c r="A613" s="11">
        <v>40954</v>
      </c>
      <c r="B613" s="12">
        <v>2068</v>
      </c>
      <c r="C613" s="13" t="s">
        <v>23</v>
      </c>
      <c r="D613" s="13" t="s">
        <v>32</v>
      </c>
      <c r="E613" s="13" t="s">
        <v>28</v>
      </c>
      <c r="F613" s="13">
        <v>10</v>
      </c>
      <c r="G613" s="13">
        <v>6780</v>
      </c>
      <c r="H613" s="13">
        <v>2981.8440000000001</v>
      </c>
    </row>
    <row r="614" spans="1:8" x14ac:dyDescent="0.35">
      <c r="A614" s="11">
        <v>40955</v>
      </c>
      <c r="B614" s="12">
        <v>1704</v>
      </c>
      <c r="C614" s="13" t="s">
        <v>27</v>
      </c>
      <c r="D614" s="13" t="s">
        <v>32</v>
      </c>
      <c r="E614" s="13" t="s">
        <v>25</v>
      </c>
      <c r="F614" s="13">
        <v>10</v>
      </c>
      <c r="G614" s="13">
        <v>4420</v>
      </c>
      <c r="H614" s="13">
        <v>1985.9059999999999</v>
      </c>
    </row>
    <row r="615" spans="1:8" x14ac:dyDescent="0.35">
      <c r="A615" s="11">
        <v>40956</v>
      </c>
      <c r="B615" s="12">
        <v>2069</v>
      </c>
      <c r="C615" s="13" t="s">
        <v>26</v>
      </c>
      <c r="D615" s="13" t="s">
        <v>32</v>
      </c>
      <c r="E615" s="13" t="s">
        <v>28</v>
      </c>
      <c r="F615" s="13">
        <v>7</v>
      </c>
      <c r="G615" s="13">
        <v>8925</v>
      </c>
      <c r="H615" s="13">
        <v>3200.5050000000001</v>
      </c>
    </row>
    <row r="616" spans="1:8" x14ac:dyDescent="0.35">
      <c r="A616" s="11">
        <v>40957</v>
      </c>
      <c r="B616" s="12">
        <v>1705</v>
      </c>
      <c r="C616" s="13" t="s">
        <v>23</v>
      </c>
      <c r="D616" s="13" t="s">
        <v>32</v>
      </c>
      <c r="E616" s="13" t="s">
        <v>25</v>
      </c>
      <c r="F616" s="13">
        <v>6</v>
      </c>
      <c r="G616" s="13">
        <v>5643</v>
      </c>
      <c r="H616" s="13">
        <v>3086.3447999999999</v>
      </c>
    </row>
    <row r="617" spans="1:8" x14ac:dyDescent="0.35">
      <c r="A617" s="11">
        <v>40958</v>
      </c>
      <c r="B617" s="12">
        <v>2070</v>
      </c>
      <c r="C617" s="13" t="s">
        <v>27</v>
      </c>
      <c r="D617" s="13" t="s">
        <v>32</v>
      </c>
      <c r="E617" s="13" t="s">
        <v>29</v>
      </c>
      <c r="F617" s="13">
        <v>6</v>
      </c>
      <c r="G617" s="13">
        <v>3132</v>
      </c>
      <c r="H617" s="13">
        <v>1762.2197999999999</v>
      </c>
    </row>
    <row r="618" spans="1:8" x14ac:dyDescent="0.35">
      <c r="A618" s="11">
        <v>40959</v>
      </c>
      <c r="B618" s="12">
        <v>1706</v>
      </c>
      <c r="C618" s="13" t="s">
        <v>26</v>
      </c>
      <c r="D618" s="13" t="s">
        <v>32</v>
      </c>
      <c r="E618" s="13" t="s">
        <v>25</v>
      </c>
      <c r="F618" s="13">
        <v>10</v>
      </c>
      <c r="G618" s="13">
        <v>1830</v>
      </c>
      <c r="H618" s="13">
        <v>2663.0160000000001</v>
      </c>
    </row>
    <row r="619" spans="1:8" x14ac:dyDescent="0.35">
      <c r="A619" s="11">
        <v>40960</v>
      </c>
      <c r="B619" s="12">
        <v>2071</v>
      </c>
      <c r="C619" s="13" t="s">
        <v>23</v>
      </c>
      <c r="D619" s="13" t="s">
        <v>32</v>
      </c>
      <c r="E619" s="13" t="s">
        <v>29</v>
      </c>
      <c r="F619" s="13">
        <v>8</v>
      </c>
      <c r="G619" s="13">
        <v>1608</v>
      </c>
      <c r="H619" s="13">
        <v>1651.2552000000001</v>
      </c>
    </row>
    <row r="620" spans="1:8" x14ac:dyDescent="0.35">
      <c r="A620" s="11">
        <v>40961</v>
      </c>
      <c r="B620" s="12">
        <v>1707</v>
      </c>
      <c r="C620" s="13" t="s">
        <v>27</v>
      </c>
      <c r="D620" s="13" t="s">
        <v>32</v>
      </c>
      <c r="E620" s="13" t="s">
        <v>28</v>
      </c>
      <c r="F620" s="13">
        <v>10</v>
      </c>
      <c r="G620" s="13">
        <v>4160</v>
      </c>
      <c r="H620" s="13">
        <v>1432.288</v>
      </c>
    </row>
    <row r="621" spans="1:8" x14ac:dyDescent="0.35">
      <c r="A621" s="11">
        <v>40962</v>
      </c>
      <c r="B621" s="12">
        <v>2072</v>
      </c>
      <c r="C621" s="13" t="s">
        <v>26</v>
      </c>
      <c r="D621" s="13" t="s">
        <v>32</v>
      </c>
      <c r="E621" s="13" t="s">
        <v>29</v>
      </c>
      <c r="F621" s="13">
        <v>10</v>
      </c>
      <c r="G621" s="13">
        <v>8240</v>
      </c>
      <c r="H621" s="13">
        <v>1837.52</v>
      </c>
    </row>
    <row r="622" spans="1:8" x14ac:dyDescent="0.35">
      <c r="A622" s="11">
        <v>40963</v>
      </c>
      <c r="B622" s="12">
        <v>1708</v>
      </c>
      <c r="C622" s="13" t="s">
        <v>23</v>
      </c>
      <c r="D622" s="13" t="s">
        <v>32</v>
      </c>
      <c r="E622" s="13" t="s">
        <v>28</v>
      </c>
      <c r="F622" s="13">
        <v>8</v>
      </c>
      <c r="G622" s="13">
        <v>11040</v>
      </c>
      <c r="H622" s="13">
        <v>2812.1088</v>
      </c>
    </row>
    <row r="623" spans="1:8" x14ac:dyDescent="0.35">
      <c r="A623" s="11">
        <v>40964</v>
      </c>
      <c r="B623" s="12">
        <v>2073</v>
      </c>
      <c r="C623" s="13" t="s">
        <v>27</v>
      </c>
      <c r="D623" s="13" t="s">
        <v>32</v>
      </c>
      <c r="E623" s="13" t="s">
        <v>25</v>
      </c>
      <c r="F623" s="13">
        <v>6</v>
      </c>
      <c r="G623" s="13">
        <v>10890</v>
      </c>
      <c r="H623" s="13">
        <v>4779.621000000001</v>
      </c>
    </row>
    <row r="624" spans="1:8" x14ac:dyDescent="0.35">
      <c r="A624" s="11">
        <v>40965</v>
      </c>
      <c r="B624" s="12">
        <v>1709</v>
      </c>
      <c r="C624" s="13" t="s">
        <v>26</v>
      </c>
      <c r="D624" s="13" t="s">
        <v>32</v>
      </c>
      <c r="E624" s="13" t="s">
        <v>28</v>
      </c>
      <c r="F624" s="13">
        <v>8</v>
      </c>
      <c r="G624" s="13">
        <v>12480</v>
      </c>
      <c r="H624" s="13">
        <v>2013.2736</v>
      </c>
    </row>
    <row r="625" spans="1:8" x14ac:dyDescent="0.35">
      <c r="A625" s="11">
        <v>40966</v>
      </c>
      <c r="B625" s="12">
        <v>2074</v>
      </c>
      <c r="C625" s="13" t="s">
        <v>23</v>
      </c>
      <c r="D625" s="13" t="s">
        <v>32</v>
      </c>
      <c r="E625" s="13" t="s">
        <v>25</v>
      </c>
      <c r="F625" s="13">
        <v>6</v>
      </c>
      <c r="G625" s="13">
        <v>2196</v>
      </c>
      <c r="H625" s="13">
        <v>927.37080000000003</v>
      </c>
    </row>
    <row r="626" spans="1:8" x14ac:dyDescent="0.35">
      <c r="A626" s="11">
        <v>40967</v>
      </c>
      <c r="B626" s="12">
        <v>1710</v>
      </c>
      <c r="C626" s="13" t="s">
        <v>27</v>
      </c>
      <c r="D626" s="13" t="s">
        <v>32</v>
      </c>
      <c r="E626" s="13" t="s">
        <v>29</v>
      </c>
      <c r="F626" s="13">
        <v>9</v>
      </c>
      <c r="G626" s="13">
        <v>11655</v>
      </c>
      <c r="H626" s="13">
        <v>2583.2142000000003</v>
      </c>
    </row>
    <row r="627" spans="1:8" x14ac:dyDescent="0.35">
      <c r="A627" s="11">
        <v>40969</v>
      </c>
      <c r="B627" s="12">
        <v>2075</v>
      </c>
      <c r="C627" s="13" t="s">
        <v>26</v>
      </c>
      <c r="D627" s="13" t="s">
        <v>32</v>
      </c>
      <c r="E627" s="13" t="s">
        <v>25</v>
      </c>
      <c r="F627" s="13">
        <v>10</v>
      </c>
      <c r="G627" s="13">
        <v>8520</v>
      </c>
      <c r="H627" s="13">
        <v>2055.0239999999999</v>
      </c>
    </row>
    <row r="628" spans="1:8" x14ac:dyDescent="0.35">
      <c r="A628" s="11">
        <v>40970</v>
      </c>
      <c r="B628" s="12">
        <v>1711</v>
      </c>
      <c r="C628" s="13" t="s">
        <v>23</v>
      </c>
      <c r="D628" s="13" t="s">
        <v>32</v>
      </c>
      <c r="E628" s="13" t="s">
        <v>29</v>
      </c>
      <c r="F628" s="13">
        <v>8</v>
      </c>
      <c r="G628" s="13">
        <v>7680</v>
      </c>
      <c r="H628" s="13">
        <v>713.08799999999997</v>
      </c>
    </row>
    <row r="629" spans="1:8" x14ac:dyDescent="0.35">
      <c r="A629" s="11">
        <v>40971</v>
      </c>
      <c r="B629" s="12">
        <v>2076</v>
      </c>
      <c r="C629" s="13" t="s">
        <v>27</v>
      </c>
      <c r="D629" s="13" t="s">
        <v>32</v>
      </c>
      <c r="E629" s="13" t="s">
        <v>28</v>
      </c>
      <c r="F629" s="13">
        <v>9</v>
      </c>
      <c r="G629" s="13">
        <v>13050</v>
      </c>
      <c r="H629" s="13">
        <v>2082.7800000000002</v>
      </c>
    </row>
    <row r="630" spans="1:8" x14ac:dyDescent="0.35">
      <c r="A630" s="11">
        <v>40972</v>
      </c>
      <c r="B630" s="12">
        <v>1712</v>
      </c>
      <c r="C630" s="13" t="s">
        <v>26</v>
      </c>
      <c r="D630" s="13" t="s">
        <v>32</v>
      </c>
      <c r="E630" s="13" t="s">
        <v>29</v>
      </c>
      <c r="F630" s="13">
        <v>9</v>
      </c>
      <c r="G630" s="13">
        <v>11745</v>
      </c>
      <c r="H630" s="13">
        <v>871.24409999999989</v>
      </c>
    </row>
    <row r="631" spans="1:8" x14ac:dyDescent="0.35">
      <c r="A631" s="11">
        <v>40973</v>
      </c>
      <c r="B631" s="12">
        <v>2077</v>
      </c>
      <c r="C631" s="13" t="s">
        <v>23</v>
      </c>
      <c r="D631" s="13" t="s">
        <v>32</v>
      </c>
      <c r="E631" s="13" t="s">
        <v>28</v>
      </c>
      <c r="F631" s="13">
        <v>6</v>
      </c>
      <c r="G631" s="13">
        <v>13005</v>
      </c>
      <c r="H631" s="13">
        <v>2521.9295999999999</v>
      </c>
    </row>
    <row r="632" spans="1:8" x14ac:dyDescent="0.35">
      <c r="A632" s="11">
        <v>41339</v>
      </c>
      <c r="B632" s="12">
        <v>1713</v>
      </c>
      <c r="C632" s="13" t="s">
        <v>27</v>
      </c>
      <c r="D632" s="13" t="s">
        <v>32</v>
      </c>
      <c r="E632" s="13" t="s">
        <v>25</v>
      </c>
      <c r="F632" s="13">
        <v>10</v>
      </c>
      <c r="G632" s="13">
        <v>10640</v>
      </c>
      <c r="H632" s="13">
        <v>2523.2759999999998</v>
      </c>
    </row>
    <row r="633" spans="1:8" x14ac:dyDescent="0.35">
      <c r="A633" s="11">
        <v>41340</v>
      </c>
      <c r="B633" s="12">
        <v>2078</v>
      </c>
      <c r="C633" s="13" t="s">
        <v>26</v>
      </c>
      <c r="D633" s="13" t="s">
        <v>32</v>
      </c>
      <c r="E633" s="13" t="s">
        <v>28</v>
      </c>
      <c r="F633" s="13">
        <v>9</v>
      </c>
      <c r="G633" s="13">
        <v>12375</v>
      </c>
      <c r="H633" s="13">
        <v>2340.36</v>
      </c>
    </row>
    <row r="634" spans="1:8" x14ac:dyDescent="0.35">
      <c r="A634" s="11">
        <v>41341</v>
      </c>
      <c r="B634" s="12">
        <v>1714</v>
      </c>
      <c r="C634" s="13" t="s">
        <v>23</v>
      </c>
      <c r="D634" s="13" t="s">
        <v>32</v>
      </c>
      <c r="E634" s="13" t="s">
        <v>25</v>
      </c>
      <c r="F634" s="13">
        <v>10</v>
      </c>
      <c r="G634" s="13">
        <v>11280</v>
      </c>
      <c r="H634" s="13">
        <v>5097.1500000000005</v>
      </c>
    </row>
    <row r="635" spans="1:8" x14ac:dyDescent="0.35">
      <c r="A635" s="11">
        <v>41342</v>
      </c>
      <c r="B635" s="12">
        <v>2079</v>
      </c>
      <c r="C635" s="13" t="s">
        <v>27</v>
      </c>
      <c r="D635" s="13" t="s">
        <v>32</v>
      </c>
      <c r="E635" s="13" t="s">
        <v>29</v>
      </c>
      <c r="F635" s="13">
        <v>10</v>
      </c>
      <c r="G635" s="13">
        <v>5220</v>
      </c>
      <c r="H635" s="13">
        <v>2862.6480000000001</v>
      </c>
    </row>
    <row r="636" spans="1:8" x14ac:dyDescent="0.35">
      <c r="A636" s="11">
        <v>41343</v>
      </c>
      <c r="B636" s="12">
        <v>1715</v>
      </c>
      <c r="C636" s="13" t="s">
        <v>26</v>
      </c>
      <c r="D636" s="13" t="s">
        <v>32</v>
      </c>
      <c r="E636" s="13" t="s">
        <v>25</v>
      </c>
      <c r="F636" s="13">
        <v>9</v>
      </c>
      <c r="G636" s="13">
        <v>9108</v>
      </c>
      <c r="H636" s="13">
        <v>4848.8715000000002</v>
      </c>
    </row>
    <row r="637" spans="1:8" x14ac:dyDescent="0.35">
      <c r="A637" s="11">
        <v>41344</v>
      </c>
      <c r="B637" s="12">
        <v>2080</v>
      </c>
      <c r="C637" s="13" t="s">
        <v>23</v>
      </c>
      <c r="D637" s="13" t="s">
        <v>32</v>
      </c>
      <c r="E637" s="13" t="s">
        <v>29</v>
      </c>
      <c r="F637" s="13">
        <v>8</v>
      </c>
      <c r="G637" s="13">
        <v>7176</v>
      </c>
      <c r="H637" s="13">
        <v>834.80799999999999</v>
      </c>
    </row>
    <row r="638" spans="1:8" x14ac:dyDescent="0.35">
      <c r="A638" s="11">
        <v>41345</v>
      </c>
      <c r="B638" s="12">
        <v>1716</v>
      </c>
      <c r="C638" s="13" t="s">
        <v>27</v>
      </c>
      <c r="D638" s="13" t="s">
        <v>32</v>
      </c>
      <c r="E638" s="13" t="s">
        <v>28</v>
      </c>
      <c r="F638" s="13">
        <v>9</v>
      </c>
      <c r="G638" s="13">
        <v>2605.5</v>
      </c>
      <c r="H638" s="13">
        <v>794.93804999999998</v>
      </c>
    </row>
    <row r="639" spans="1:8" x14ac:dyDescent="0.35">
      <c r="A639" s="11">
        <v>41346</v>
      </c>
      <c r="B639" s="12">
        <v>2081</v>
      </c>
      <c r="C639" s="13" t="s">
        <v>26</v>
      </c>
      <c r="D639" s="13" t="s">
        <v>32</v>
      </c>
      <c r="E639" s="13" t="s">
        <v>29</v>
      </c>
      <c r="F639" s="13">
        <v>10</v>
      </c>
      <c r="G639" s="13">
        <v>10600</v>
      </c>
      <c r="H639" s="13">
        <v>4454.12</v>
      </c>
    </row>
    <row r="640" spans="1:8" x14ac:dyDescent="0.35">
      <c r="A640" s="11">
        <v>41347</v>
      </c>
      <c r="B640" s="12">
        <v>1717</v>
      </c>
      <c r="C640" s="13" t="s">
        <v>23</v>
      </c>
      <c r="D640" s="13" t="s">
        <v>32</v>
      </c>
      <c r="E640" s="13" t="s">
        <v>28</v>
      </c>
      <c r="F640" s="13">
        <v>7</v>
      </c>
      <c r="G640" s="13">
        <v>2415</v>
      </c>
      <c r="H640" s="13">
        <v>724.74149999999986</v>
      </c>
    </row>
    <row r="641" spans="1:8" x14ac:dyDescent="0.35">
      <c r="A641" s="11">
        <v>41348</v>
      </c>
      <c r="B641" s="12">
        <v>1718</v>
      </c>
      <c r="C641" s="13" t="s">
        <v>26</v>
      </c>
      <c r="D641" s="13" t="s">
        <v>32</v>
      </c>
      <c r="E641" s="13" t="s">
        <v>28</v>
      </c>
      <c r="F641" s="13">
        <v>9</v>
      </c>
      <c r="G641" s="13">
        <v>6588</v>
      </c>
      <c r="H641" s="13">
        <v>2554.8263999999999</v>
      </c>
    </row>
    <row r="642" spans="1:8" x14ac:dyDescent="0.35">
      <c r="A642" s="11">
        <v>41349</v>
      </c>
      <c r="B642" s="12">
        <v>1719</v>
      </c>
      <c r="C642" s="13" t="s">
        <v>27</v>
      </c>
      <c r="D642" s="13" t="s">
        <v>32</v>
      </c>
      <c r="E642" s="13" t="s">
        <v>29</v>
      </c>
      <c r="F642" s="13">
        <v>7</v>
      </c>
      <c r="G642" s="13">
        <v>4063.5</v>
      </c>
      <c r="H642" s="13">
        <v>1466.1108000000002</v>
      </c>
    </row>
    <row r="643" spans="1:8" x14ac:dyDescent="0.35">
      <c r="A643" s="11">
        <v>41350</v>
      </c>
      <c r="B643" s="12">
        <v>1720</v>
      </c>
      <c r="C643" s="13" t="s">
        <v>23</v>
      </c>
      <c r="D643" s="13" t="s">
        <v>32</v>
      </c>
      <c r="E643" s="13" t="s">
        <v>29</v>
      </c>
      <c r="F643" s="13">
        <v>10</v>
      </c>
      <c r="G643" s="13">
        <v>14850</v>
      </c>
      <c r="H643" s="13">
        <v>5103.9450000000006</v>
      </c>
    </row>
    <row r="644" spans="1:8" x14ac:dyDescent="0.35">
      <c r="A644" s="11">
        <v>41351</v>
      </c>
      <c r="B644" s="12">
        <v>1721</v>
      </c>
      <c r="C644" s="13" t="s">
        <v>26</v>
      </c>
      <c r="D644" s="13" t="s">
        <v>32</v>
      </c>
      <c r="E644" s="13" t="s">
        <v>29</v>
      </c>
      <c r="F644" s="13">
        <v>10</v>
      </c>
      <c r="G644" s="13">
        <v>4560</v>
      </c>
      <c r="H644" s="13">
        <v>2971.2960000000003</v>
      </c>
    </row>
    <row r="645" spans="1:8" x14ac:dyDescent="0.35">
      <c r="A645" s="11">
        <v>41352</v>
      </c>
      <c r="B645" s="12">
        <v>2091</v>
      </c>
      <c r="C645" s="13" t="s">
        <v>27</v>
      </c>
      <c r="D645" s="13" t="s">
        <v>32</v>
      </c>
      <c r="E645" s="13" t="s">
        <v>25</v>
      </c>
      <c r="F645" s="13">
        <v>6</v>
      </c>
      <c r="G645" s="13">
        <v>6642</v>
      </c>
      <c r="H645" s="13">
        <v>3599.9639999999995</v>
      </c>
    </row>
    <row r="646" spans="1:8" x14ac:dyDescent="0.35">
      <c r="A646" s="11">
        <v>41353</v>
      </c>
      <c r="B646" s="12">
        <v>2092</v>
      </c>
      <c r="C646" s="13" t="s">
        <v>23</v>
      </c>
      <c r="D646" s="13" t="s">
        <v>32</v>
      </c>
      <c r="E646" s="13" t="s">
        <v>25</v>
      </c>
      <c r="F646" s="13">
        <v>6</v>
      </c>
      <c r="G646" s="13">
        <v>4428</v>
      </c>
      <c r="H646" s="13">
        <v>973.93860000000006</v>
      </c>
    </row>
    <row r="647" spans="1:8" x14ac:dyDescent="0.35">
      <c r="A647" s="11">
        <v>41354</v>
      </c>
      <c r="B647" s="12">
        <v>2093</v>
      </c>
      <c r="C647" s="13" t="s">
        <v>26</v>
      </c>
      <c r="D647" s="13" t="s">
        <v>32</v>
      </c>
      <c r="E647" s="13" t="s">
        <v>25</v>
      </c>
      <c r="F647" s="13">
        <v>8</v>
      </c>
      <c r="G647" s="13">
        <v>1812</v>
      </c>
      <c r="H647" s="13">
        <v>578.75280000000009</v>
      </c>
    </row>
    <row r="648" spans="1:8" x14ac:dyDescent="0.35">
      <c r="A648" s="11">
        <v>41355</v>
      </c>
      <c r="B648" s="12">
        <v>2094</v>
      </c>
      <c r="C648" s="13" t="s">
        <v>27</v>
      </c>
      <c r="D648" s="13" t="s">
        <v>32</v>
      </c>
      <c r="E648" s="13" t="s">
        <v>28</v>
      </c>
      <c r="F648" s="13">
        <v>7</v>
      </c>
      <c r="G648" s="13">
        <v>5544</v>
      </c>
      <c r="H648" s="13">
        <v>1490.2271999999998</v>
      </c>
    </row>
    <row r="649" spans="1:8" x14ac:dyDescent="0.35">
      <c r="A649" s="11">
        <v>41356</v>
      </c>
      <c r="B649" s="12">
        <v>2095</v>
      </c>
      <c r="C649" s="13" t="s">
        <v>23</v>
      </c>
      <c r="D649" s="13" t="s">
        <v>32</v>
      </c>
      <c r="E649" s="13" t="s">
        <v>28</v>
      </c>
      <c r="F649" s="13">
        <v>8</v>
      </c>
      <c r="G649" s="13">
        <v>4688</v>
      </c>
      <c r="H649" s="13">
        <v>2016.7776000000001</v>
      </c>
    </row>
    <row r="650" spans="1:8" x14ac:dyDescent="0.35">
      <c r="A650" s="11">
        <v>41357</v>
      </c>
      <c r="B650" s="12">
        <v>1731</v>
      </c>
      <c r="C650" s="13" t="s">
        <v>27</v>
      </c>
      <c r="D650" s="13" t="s">
        <v>32</v>
      </c>
      <c r="E650" s="13" t="s">
        <v>25</v>
      </c>
      <c r="F650" s="13">
        <v>9</v>
      </c>
      <c r="G650" s="13">
        <v>7128</v>
      </c>
      <c r="H650" s="13">
        <v>1762.5168000000001</v>
      </c>
    </row>
    <row r="651" spans="1:8" x14ac:dyDescent="0.35">
      <c r="A651" s="11">
        <v>41358</v>
      </c>
      <c r="B651" s="12">
        <v>2096</v>
      </c>
      <c r="C651" s="13" t="s">
        <v>26</v>
      </c>
      <c r="D651" s="13" t="s">
        <v>32</v>
      </c>
      <c r="E651" s="13" t="s">
        <v>28</v>
      </c>
      <c r="F651" s="13">
        <v>6</v>
      </c>
      <c r="G651" s="13">
        <v>7344</v>
      </c>
      <c r="H651" s="13">
        <v>2931.174</v>
      </c>
    </row>
    <row r="652" spans="1:8" x14ac:dyDescent="0.35">
      <c r="A652" s="11">
        <v>41359</v>
      </c>
      <c r="B652" s="12">
        <v>1732</v>
      </c>
      <c r="C652" s="13" t="s">
        <v>23</v>
      </c>
      <c r="D652" s="13" t="s">
        <v>32</v>
      </c>
      <c r="E652" s="13" t="s">
        <v>25</v>
      </c>
      <c r="F652" s="13">
        <v>6</v>
      </c>
      <c r="G652" s="13">
        <v>4698</v>
      </c>
      <c r="H652" s="13">
        <v>676.19880000000012</v>
      </c>
    </row>
    <row r="653" spans="1:8" x14ac:dyDescent="0.35">
      <c r="A653" s="11">
        <v>41360</v>
      </c>
      <c r="B653" s="12">
        <v>2097</v>
      </c>
      <c r="C653" s="13" t="s">
        <v>27</v>
      </c>
      <c r="D653" s="13" t="s">
        <v>32</v>
      </c>
      <c r="E653" s="13" t="s">
        <v>29</v>
      </c>
      <c r="F653" s="13">
        <v>9</v>
      </c>
      <c r="G653" s="13">
        <v>3294</v>
      </c>
      <c r="H653" s="13">
        <v>3128.4764999999998</v>
      </c>
    </row>
    <row r="654" spans="1:8" x14ac:dyDescent="0.35">
      <c r="A654" s="11">
        <v>41361</v>
      </c>
      <c r="B654" s="12">
        <v>1733</v>
      </c>
      <c r="C654" s="13" t="s">
        <v>26</v>
      </c>
      <c r="D654" s="13" t="s">
        <v>32</v>
      </c>
      <c r="E654" s="13" t="s">
        <v>25</v>
      </c>
      <c r="F654" s="13">
        <v>9</v>
      </c>
      <c r="G654" s="13">
        <v>5832</v>
      </c>
      <c r="H654" s="13">
        <v>3346.7903999999999</v>
      </c>
    </row>
    <row r="655" spans="1:8" x14ac:dyDescent="0.35">
      <c r="A655" s="11">
        <v>41362</v>
      </c>
      <c r="B655" s="12">
        <v>2098</v>
      </c>
      <c r="C655" s="13" t="s">
        <v>23</v>
      </c>
      <c r="D655" s="13" t="s">
        <v>32</v>
      </c>
      <c r="E655" s="13" t="s">
        <v>29</v>
      </c>
      <c r="F655" s="13">
        <v>8</v>
      </c>
      <c r="G655" s="13">
        <v>2508</v>
      </c>
      <c r="H655" s="13">
        <v>3452.0111999999999</v>
      </c>
    </row>
    <row r="656" spans="1:8" x14ac:dyDescent="0.35">
      <c r="A656" s="11">
        <v>41363</v>
      </c>
      <c r="B656" s="12">
        <v>1734</v>
      </c>
      <c r="C656" s="13" t="s">
        <v>27</v>
      </c>
      <c r="D656" s="13" t="s">
        <v>32</v>
      </c>
      <c r="E656" s="13" t="s">
        <v>28</v>
      </c>
      <c r="F656" s="13">
        <v>6</v>
      </c>
      <c r="G656" s="13">
        <v>5265</v>
      </c>
      <c r="H656" s="13">
        <v>544.92750000000001</v>
      </c>
    </row>
    <row r="657" spans="1:8" x14ac:dyDescent="0.35">
      <c r="A657" s="11">
        <v>41364</v>
      </c>
      <c r="B657" s="12">
        <v>2099</v>
      </c>
      <c r="C657" s="13" t="s">
        <v>26</v>
      </c>
      <c r="D657" s="13" t="s">
        <v>32</v>
      </c>
      <c r="E657" s="13" t="s">
        <v>29</v>
      </c>
      <c r="F657" s="13">
        <v>7</v>
      </c>
      <c r="G657" s="13">
        <v>1533</v>
      </c>
      <c r="H657" s="13">
        <v>673.75350000000003</v>
      </c>
    </row>
    <row r="658" spans="1:8" x14ac:dyDescent="0.35">
      <c r="A658" s="11">
        <v>41365</v>
      </c>
      <c r="B658" s="12">
        <v>1735</v>
      </c>
      <c r="C658" s="13" t="s">
        <v>23</v>
      </c>
      <c r="D658" s="13" t="s">
        <v>32</v>
      </c>
      <c r="E658" s="13" t="s">
        <v>28</v>
      </c>
      <c r="F658" s="13">
        <v>7</v>
      </c>
      <c r="G658" s="13">
        <v>7770</v>
      </c>
      <c r="H658" s="13">
        <v>2367.1305000000002</v>
      </c>
    </row>
    <row r="659" spans="1:8" x14ac:dyDescent="0.35">
      <c r="A659" s="11">
        <v>41366</v>
      </c>
      <c r="B659" s="12">
        <v>2100</v>
      </c>
      <c r="C659" s="13" t="s">
        <v>27</v>
      </c>
      <c r="D659" s="13" t="s">
        <v>32</v>
      </c>
      <c r="E659" s="13" t="s">
        <v>25</v>
      </c>
      <c r="F659" s="13">
        <v>6</v>
      </c>
      <c r="G659" s="13">
        <v>1719</v>
      </c>
      <c r="H659" s="13">
        <v>1526.8158000000001</v>
      </c>
    </row>
    <row r="660" spans="1:8" x14ac:dyDescent="0.35">
      <c r="A660" s="11">
        <v>41367</v>
      </c>
      <c r="B660" s="12">
        <v>1736</v>
      </c>
      <c r="C660" s="13" t="s">
        <v>26</v>
      </c>
      <c r="D660" s="13" t="s">
        <v>32</v>
      </c>
      <c r="E660" s="13" t="s">
        <v>28</v>
      </c>
      <c r="F660" s="13">
        <v>7</v>
      </c>
      <c r="G660" s="13">
        <v>4018</v>
      </c>
      <c r="H660" s="13">
        <v>772.8623</v>
      </c>
    </row>
    <row r="661" spans="1:8" x14ac:dyDescent="0.35">
      <c r="A661" s="11">
        <v>41368</v>
      </c>
      <c r="B661" s="12">
        <v>2101</v>
      </c>
      <c r="C661" s="13" t="s">
        <v>23</v>
      </c>
      <c r="D661" s="13" t="s">
        <v>32</v>
      </c>
      <c r="E661" s="13" t="s">
        <v>25</v>
      </c>
      <c r="F661" s="13">
        <v>9</v>
      </c>
      <c r="G661" s="13">
        <v>10395</v>
      </c>
      <c r="H661" s="13">
        <v>922.66019999999992</v>
      </c>
    </row>
    <row r="662" spans="1:8" x14ac:dyDescent="0.35">
      <c r="A662" s="11">
        <v>41369</v>
      </c>
      <c r="B662" s="12">
        <v>1737</v>
      </c>
      <c r="C662" s="13" t="s">
        <v>27</v>
      </c>
      <c r="D662" s="13" t="s">
        <v>32</v>
      </c>
      <c r="E662" s="13" t="s">
        <v>29</v>
      </c>
      <c r="F662" s="13">
        <v>10</v>
      </c>
      <c r="G662" s="13">
        <v>11100</v>
      </c>
      <c r="H662" s="13">
        <v>4928.3999999999996</v>
      </c>
    </row>
    <row r="663" spans="1:8" x14ac:dyDescent="0.35">
      <c r="A663" s="11">
        <v>41370</v>
      </c>
      <c r="B663" s="12">
        <v>2102</v>
      </c>
      <c r="C663" s="13" t="s">
        <v>26</v>
      </c>
      <c r="D663" s="13" t="s">
        <v>32</v>
      </c>
      <c r="E663" s="13" t="s">
        <v>25</v>
      </c>
      <c r="F663" s="13">
        <v>9</v>
      </c>
      <c r="G663" s="13">
        <v>5940</v>
      </c>
      <c r="H663" s="13">
        <v>1273.8330000000001</v>
      </c>
    </row>
    <row r="664" spans="1:8" x14ac:dyDescent="0.35">
      <c r="A664" s="11">
        <v>41371</v>
      </c>
      <c r="B664" s="12">
        <v>1738</v>
      </c>
      <c r="C664" s="13" t="s">
        <v>23</v>
      </c>
      <c r="D664" s="13" t="s">
        <v>32</v>
      </c>
      <c r="E664" s="13" t="s">
        <v>29</v>
      </c>
      <c r="F664" s="13">
        <v>7</v>
      </c>
      <c r="G664" s="13">
        <v>12442.5</v>
      </c>
      <c r="H664" s="13">
        <v>4404.6449999999995</v>
      </c>
    </row>
    <row r="665" spans="1:8" x14ac:dyDescent="0.35">
      <c r="A665" s="11">
        <v>41372</v>
      </c>
      <c r="B665" s="12">
        <v>2103</v>
      </c>
      <c r="C665" s="13" t="s">
        <v>27</v>
      </c>
      <c r="D665" s="13" t="s">
        <v>32</v>
      </c>
      <c r="E665" s="13" t="s">
        <v>28</v>
      </c>
      <c r="F665" s="13">
        <v>7</v>
      </c>
      <c r="G665" s="13">
        <v>6132</v>
      </c>
      <c r="H665" s="13">
        <v>3357.2700000000004</v>
      </c>
    </row>
    <row r="666" spans="1:8" x14ac:dyDescent="0.35">
      <c r="A666" s="11">
        <v>41373</v>
      </c>
      <c r="B666" s="12">
        <v>1739</v>
      </c>
      <c r="C666" s="13" t="s">
        <v>26</v>
      </c>
      <c r="D666" s="13" t="s">
        <v>32</v>
      </c>
      <c r="E666" s="13" t="s">
        <v>29</v>
      </c>
      <c r="F666" s="13">
        <v>7</v>
      </c>
      <c r="G666" s="13">
        <v>10500</v>
      </c>
      <c r="H666" s="13">
        <v>1850.1</v>
      </c>
    </row>
    <row r="667" spans="1:8" x14ac:dyDescent="0.35">
      <c r="A667" s="11">
        <v>41374</v>
      </c>
      <c r="B667" s="12">
        <v>2104</v>
      </c>
      <c r="C667" s="13" t="s">
        <v>23</v>
      </c>
      <c r="D667" s="13" t="s">
        <v>32</v>
      </c>
      <c r="E667" s="13" t="s">
        <v>28</v>
      </c>
      <c r="F667" s="13">
        <v>10</v>
      </c>
      <c r="G667" s="13">
        <v>14650</v>
      </c>
      <c r="H667" s="13">
        <v>5070.3650000000007</v>
      </c>
    </row>
    <row r="668" spans="1:8" x14ac:dyDescent="0.35">
      <c r="A668" s="11">
        <v>41375</v>
      </c>
      <c r="B668" s="12">
        <v>1740</v>
      </c>
      <c r="C668" s="13" t="s">
        <v>27</v>
      </c>
      <c r="D668" s="13" t="s">
        <v>32</v>
      </c>
      <c r="E668" s="13" t="s">
        <v>25</v>
      </c>
      <c r="F668" s="13">
        <v>9</v>
      </c>
      <c r="G668" s="13">
        <v>14985</v>
      </c>
      <c r="H668" s="13">
        <v>4501.4940000000006</v>
      </c>
    </row>
    <row r="669" spans="1:8" x14ac:dyDescent="0.35">
      <c r="A669" s="11">
        <v>41376</v>
      </c>
      <c r="B669" s="12">
        <v>2105</v>
      </c>
      <c r="C669" s="13" t="s">
        <v>26</v>
      </c>
      <c r="D669" s="13" t="s">
        <v>32</v>
      </c>
      <c r="E669" s="13" t="s">
        <v>28</v>
      </c>
      <c r="F669" s="13">
        <v>8</v>
      </c>
      <c r="G669" s="13">
        <v>2214</v>
      </c>
      <c r="H669" s="13">
        <v>4702.5359999999991</v>
      </c>
    </row>
    <row r="670" spans="1:8" x14ac:dyDescent="0.35">
      <c r="A670" s="11">
        <v>41377</v>
      </c>
      <c r="B670" s="12">
        <v>1741</v>
      </c>
      <c r="C670" s="13" t="s">
        <v>23</v>
      </c>
      <c r="D670" s="13" t="s">
        <v>32</v>
      </c>
      <c r="E670" s="13" t="s">
        <v>25</v>
      </c>
      <c r="F670" s="13">
        <v>10</v>
      </c>
      <c r="G670" s="13">
        <v>8370</v>
      </c>
      <c r="H670" s="13">
        <v>1086.9839999999999</v>
      </c>
    </row>
    <row r="671" spans="1:8" x14ac:dyDescent="0.35">
      <c r="A671" s="11">
        <v>41378</v>
      </c>
      <c r="B671" s="12">
        <v>2106</v>
      </c>
      <c r="C671" s="13" t="s">
        <v>27</v>
      </c>
      <c r="D671" s="13" t="s">
        <v>32</v>
      </c>
      <c r="E671" s="13" t="s">
        <v>29</v>
      </c>
      <c r="F671" s="13">
        <v>6</v>
      </c>
      <c r="G671" s="13">
        <v>7560</v>
      </c>
      <c r="H671" s="13">
        <v>4897.619999999999</v>
      </c>
    </row>
    <row r="672" spans="1:8" x14ac:dyDescent="0.35">
      <c r="A672" s="11">
        <v>41379</v>
      </c>
      <c r="B672" s="12">
        <v>1742</v>
      </c>
      <c r="C672" s="13" t="s">
        <v>26</v>
      </c>
      <c r="D672" s="13" t="s">
        <v>32</v>
      </c>
      <c r="E672" s="13" t="s">
        <v>25</v>
      </c>
      <c r="F672" s="13">
        <v>6</v>
      </c>
      <c r="G672" s="13">
        <v>1512</v>
      </c>
      <c r="H672" s="13">
        <v>1825.2864</v>
      </c>
    </row>
    <row r="673" spans="1:8" x14ac:dyDescent="0.35">
      <c r="A673" s="11">
        <v>41380</v>
      </c>
      <c r="B673" s="12">
        <v>2107</v>
      </c>
      <c r="C673" s="13" t="s">
        <v>23</v>
      </c>
      <c r="D673" s="13" t="s">
        <v>32</v>
      </c>
      <c r="E673" s="13" t="s">
        <v>29</v>
      </c>
      <c r="F673" s="13">
        <v>8</v>
      </c>
      <c r="G673" s="13">
        <v>1812</v>
      </c>
      <c r="H673" s="13">
        <v>2564.3424</v>
      </c>
    </row>
    <row r="674" spans="1:8" x14ac:dyDescent="0.35">
      <c r="A674" s="11">
        <v>41381</v>
      </c>
      <c r="B674" s="12">
        <v>1743</v>
      </c>
      <c r="C674" s="13" t="s">
        <v>27</v>
      </c>
      <c r="D674" s="13" t="s">
        <v>32</v>
      </c>
      <c r="E674" s="13" t="s">
        <v>28</v>
      </c>
      <c r="F674" s="13">
        <v>10</v>
      </c>
      <c r="G674" s="13">
        <v>11220</v>
      </c>
      <c r="H674" s="13">
        <v>924.24750000000017</v>
      </c>
    </row>
    <row r="675" spans="1:8" x14ac:dyDescent="0.35">
      <c r="A675" s="11">
        <v>41382</v>
      </c>
      <c r="B675" s="12">
        <v>2108</v>
      </c>
      <c r="C675" s="13" t="s">
        <v>26</v>
      </c>
      <c r="D675" s="13" t="s">
        <v>32</v>
      </c>
      <c r="E675" s="13" t="s">
        <v>29</v>
      </c>
      <c r="F675" s="13">
        <v>8</v>
      </c>
      <c r="G675" s="13">
        <v>6768</v>
      </c>
      <c r="H675" s="13">
        <v>983.61599999999999</v>
      </c>
    </row>
    <row r="676" spans="1:8" x14ac:dyDescent="0.35">
      <c r="A676" s="11">
        <v>41383</v>
      </c>
      <c r="B676" s="12">
        <v>1744</v>
      </c>
      <c r="C676" s="13" t="s">
        <v>23</v>
      </c>
      <c r="D676" s="13" t="s">
        <v>32</v>
      </c>
      <c r="E676" s="13" t="s">
        <v>28</v>
      </c>
      <c r="F676" s="13">
        <v>6</v>
      </c>
      <c r="G676" s="13">
        <v>11002.5</v>
      </c>
      <c r="H676" s="13">
        <v>1825.0947000000001</v>
      </c>
    </row>
    <row r="677" spans="1:8" x14ac:dyDescent="0.35">
      <c r="A677" s="11">
        <v>41384</v>
      </c>
      <c r="B677" s="12">
        <v>2109</v>
      </c>
      <c r="C677" s="13" t="s">
        <v>27</v>
      </c>
      <c r="D677" s="13" t="s">
        <v>32</v>
      </c>
      <c r="E677" s="13" t="s">
        <v>25</v>
      </c>
      <c r="F677" s="13">
        <v>10</v>
      </c>
      <c r="G677" s="13">
        <v>4120</v>
      </c>
      <c r="H677" s="13">
        <v>1626.9879999999998</v>
      </c>
    </row>
    <row r="678" spans="1:8" x14ac:dyDescent="0.35">
      <c r="A678" s="11">
        <v>41385</v>
      </c>
      <c r="B678" s="12">
        <v>1745</v>
      </c>
      <c r="C678" s="13" t="s">
        <v>26</v>
      </c>
      <c r="D678" s="13" t="s">
        <v>32</v>
      </c>
      <c r="E678" s="13" t="s">
        <v>28</v>
      </c>
      <c r="F678" s="13">
        <v>8</v>
      </c>
      <c r="G678" s="13">
        <v>14580</v>
      </c>
      <c r="H678" s="13">
        <v>6256.2780000000002</v>
      </c>
    </row>
    <row r="679" spans="1:8" x14ac:dyDescent="0.35">
      <c r="A679" s="11">
        <v>41386</v>
      </c>
      <c r="B679" s="12">
        <v>2110</v>
      </c>
      <c r="C679" s="13" t="s">
        <v>23</v>
      </c>
      <c r="D679" s="13" t="s">
        <v>32</v>
      </c>
      <c r="E679" s="13" t="s">
        <v>25</v>
      </c>
      <c r="F679" s="13">
        <v>7</v>
      </c>
      <c r="G679" s="13">
        <v>10867.5</v>
      </c>
      <c r="H679" s="13">
        <v>4205.7224999999999</v>
      </c>
    </row>
    <row r="680" spans="1:8" x14ac:dyDescent="0.35">
      <c r="A680" s="11">
        <v>41387</v>
      </c>
      <c r="B680" s="12">
        <v>1746</v>
      </c>
      <c r="C680" s="13" t="s">
        <v>27</v>
      </c>
      <c r="D680" s="13" t="s">
        <v>32</v>
      </c>
      <c r="E680" s="13" t="s">
        <v>29</v>
      </c>
      <c r="F680" s="13">
        <v>6</v>
      </c>
      <c r="G680" s="13">
        <v>7092</v>
      </c>
      <c r="H680" s="13">
        <v>2235.5757000000003</v>
      </c>
    </row>
    <row r="681" spans="1:8" x14ac:dyDescent="0.35">
      <c r="A681" s="11">
        <v>41388</v>
      </c>
      <c r="B681" s="12">
        <v>2111</v>
      </c>
      <c r="C681" s="13" t="s">
        <v>26</v>
      </c>
      <c r="D681" s="13" t="s">
        <v>32</v>
      </c>
      <c r="E681" s="13" t="s">
        <v>25</v>
      </c>
      <c r="F681" s="13">
        <v>6</v>
      </c>
      <c r="G681" s="13">
        <v>10732.5</v>
      </c>
      <c r="H681" s="13">
        <v>3605.2613999999999</v>
      </c>
    </row>
    <row r="682" spans="1:8" x14ac:dyDescent="0.35">
      <c r="A682" s="11">
        <v>41389</v>
      </c>
      <c r="B682" s="12">
        <v>1747</v>
      </c>
      <c r="C682" s="13" t="s">
        <v>23</v>
      </c>
      <c r="D682" s="13" t="s">
        <v>32</v>
      </c>
      <c r="E682" s="13" t="s">
        <v>29</v>
      </c>
      <c r="F682" s="13">
        <v>10</v>
      </c>
      <c r="G682" s="13">
        <v>8580</v>
      </c>
      <c r="H682" s="13">
        <v>1138.8520000000001</v>
      </c>
    </row>
    <row r="683" spans="1:8" x14ac:dyDescent="0.35">
      <c r="A683" s="11">
        <v>41390</v>
      </c>
      <c r="B683" s="12">
        <v>2112</v>
      </c>
      <c r="C683" s="13" t="s">
        <v>27</v>
      </c>
      <c r="D683" s="13" t="s">
        <v>32</v>
      </c>
      <c r="E683" s="13" t="s">
        <v>28</v>
      </c>
      <c r="F683" s="13">
        <v>8</v>
      </c>
      <c r="G683" s="13">
        <v>4824</v>
      </c>
      <c r="H683" s="13">
        <v>2411.0352000000003</v>
      </c>
    </row>
    <row r="684" spans="1:8" x14ac:dyDescent="0.35">
      <c r="A684" s="11">
        <v>41391</v>
      </c>
      <c r="B684" s="12">
        <v>1748</v>
      </c>
      <c r="C684" s="13" t="s">
        <v>26</v>
      </c>
      <c r="D684" s="13" t="s">
        <v>32</v>
      </c>
      <c r="E684" s="13" t="s">
        <v>29</v>
      </c>
      <c r="F684" s="13">
        <v>9</v>
      </c>
      <c r="G684" s="13">
        <v>8208</v>
      </c>
      <c r="H684" s="13">
        <v>1264.4423999999999</v>
      </c>
    </row>
    <row r="685" spans="1:8" x14ac:dyDescent="0.35">
      <c r="A685" s="11">
        <v>41392</v>
      </c>
      <c r="B685" s="12">
        <v>2113</v>
      </c>
      <c r="C685" s="13" t="s">
        <v>23</v>
      </c>
      <c r="D685" s="13" t="s">
        <v>32</v>
      </c>
      <c r="E685" s="13" t="s">
        <v>28</v>
      </c>
      <c r="F685" s="13">
        <v>8</v>
      </c>
      <c r="G685" s="13">
        <v>4256</v>
      </c>
      <c r="H685" s="13">
        <v>2694.0480000000002</v>
      </c>
    </row>
    <row r="686" spans="1:8" x14ac:dyDescent="0.35">
      <c r="A686" s="11">
        <v>41393</v>
      </c>
      <c r="B686" s="12">
        <v>1749</v>
      </c>
      <c r="C686" s="13" t="s">
        <v>27</v>
      </c>
      <c r="D686" s="13" t="s">
        <v>32</v>
      </c>
      <c r="E686" s="13" t="s">
        <v>25</v>
      </c>
      <c r="F686" s="13">
        <v>6</v>
      </c>
      <c r="G686" s="13">
        <v>7308</v>
      </c>
      <c r="H686" s="13">
        <v>1987.4105999999999</v>
      </c>
    </row>
    <row r="687" spans="1:8" x14ac:dyDescent="0.35">
      <c r="A687" s="11">
        <v>41394</v>
      </c>
      <c r="B687" s="12">
        <v>2114</v>
      </c>
      <c r="C687" s="13" t="s">
        <v>26</v>
      </c>
      <c r="D687" s="13" t="s">
        <v>32</v>
      </c>
      <c r="E687" s="13" t="s">
        <v>28</v>
      </c>
      <c r="F687" s="13">
        <v>8</v>
      </c>
      <c r="G687" s="13">
        <v>9300</v>
      </c>
      <c r="H687" s="13">
        <v>2842.08</v>
      </c>
    </row>
    <row r="688" spans="1:8" x14ac:dyDescent="0.35">
      <c r="A688" s="11">
        <v>41395</v>
      </c>
      <c r="B688" s="12">
        <v>1750</v>
      </c>
      <c r="C688" s="13" t="s">
        <v>23</v>
      </c>
      <c r="D688" s="13" t="s">
        <v>32</v>
      </c>
      <c r="E688" s="13" t="s">
        <v>25</v>
      </c>
      <c r="F688" s="13">
        <v>10</v>
      </c>
      <c r="G688" s="13">
        <v>9840</v>
      </c>
      <c r="H688" s="13">
        <v>1549.8</v>
      </c>
    </row>
    <row r="689" spans="1:8" x14ac:dyDescent="0.35">
      <c r="A689" s="11">
        <v>41396</v>
      </c>
      <c r="B689" s="12">
        <v>2115</v>
      </c>
      <c r="C689" s="13" t="s">
        <v>27</v>
      </c>
      <c r="D689" s="13" t="s">
        <v>32</v>
      </c>
      <c r="E689" s="13" t="s">
        <v>29</v>
      </c>
      <c r="F689" s="13">
        <v>6</v>
      </c>
      <c r="G689" s="13">
        <v>5346</v>
      </c>
      <c r="H689" s="13">
        <v>2876.8608000000004</v>
      </c>
    </row>
    <row r="690" spans="1:8" x14ac:dyDescent="0.35">
      <c r="A690" s="11">
        <v>41397</v>
      </c>
      <c r="B690" s="12">
        <v>1751</v>
      </c>
      <c r="C690" s="13" t="s">
        <v>26</v>
      </c>
      <c r="D690" s="13" t="s">
        <v>32</v>
      </c>
      <c r="E690" s="13" t="s">
        <v>25</v>
      </c>
      <c r="F690" s="13">
        <v>9</v>
      </c>
      <c r="G690" s="13">
        <v>10440</v>
      </c>
      <c r="H690" s="13">
        <v>1611.4139999999998</v>
      </c>
    </row>
    <row r="691" spans="1:8" x14ac:dyDescent="0.35">
      <c r="A691" s="11">
        <v>41398</v>
      </c>
      <c r="B691" s="12">
        <v>2116</v>
      </c>
      <c r="C691" s="13" t="s">
        <v>23</v>
      </c>
      <c r="D691" s="13" t="s">
        <v>32</v>
      </c>
      <c r="E691" s="13" t="s">
        <v>29</v>
      </c>
      <c r="F691" s="13">
        <v>6</v>
      </c>
      <c r="G691" s="13">
        <v>12060</v>
      </c>
      <c r="H691" s="13">
        <v>3905.5104000000001</v>
      </c>
    </row>
    <row r="692" spans="1:8" x14ac:dyDescent="0.35">
      <c r="A692" s="11">
        <v>41399</v>
      </c>
      <c r="B692" s="12">
        <v>1752</v>
      </c>
      <c r="C692" s="13" t="s">
        <v>27</v>
      </c>
      <c r="D692" s="13" t="s">
        <v>32</v>
      </c>
      <c r="E692" s="13" t="s">
        <v>28</v>
      </c>
      <c r="F692" s="13">
        <v>9</v>
      </c>
      <c r="G692" s="13">
        <v>8383.5</v>
      </c>
      <c r="H692" s="13">
        <v>3595.6831499999998</v>
      </c>
    </row>
    <row r="693" spans="1:8" x14ac:dyDescent="0.35">
      <c r="A693" s="11">
        <v>41400</v>
      </c>
      <c r="B693" s="12">
        <v>2117</v>
      </c>
      <c r="C693" s="13" t="s">
        <v>26</v>
      </c>
      <c r="D693" s="13" t="s">
        <v>32</v>
      </c>
      <c r="E693" s="13" t="s">
        <v>29</v>
      </c>
      <c r="F693" s="13">
        <v>8</v>
      </c>
      <c r="G693" s="13">
        <v>2988</v>
      </c>
      <c r="H693" s="13">
        <v>5837.0579999999991</v>
      </c>
    </row>
    <row r="694" spans="1:8" x14ac:dyDescent="0.35">
      <c r="A694" s="11">
        <v>41401</v>
      </c>
      <c r="B694" s="12">
        <v>1753</v>
      </c>
      <c r="C694" s="13" t="s">
        <v>23</v>
      </c>
      <c r="D694" s="13" t="s">
        <v>32</v>
      </c>
      <c r="E694" s="13" t="s">
        <v>28</v>
      </c>
      <c r="F694" s="13">
        <v>7</v>
      </c>
      <c r="G694" s="13">
        <v>12075</v>
      </c>
      <c r="H694" s="13">
        <v>1492.47</v>
      </c>
    </row>
    <row r="695" spans="1:8" x14ac:dyDescent="0.35">
      <c r="A695" s="11">
        <v>41767</v>
      </c>
      <c r="B695" s="12">
        <v>1754</v>
      </c>
      <c r="C695" s="13" t="s">
        <v>26</v>
      </c>
      <c r="D695" s="13" t="s">
        <v>32</v>
      </c>
      <c r="E695" s="13" t="s">
        <v>28</v>
      </c>
      <c r="F695" s="13">
        <v>6</v>
      </c>
      <c r="G695" s="13">
        <v>6885</v>
      </c>
      <c r="H695" s="13">
        <v>2666.5604999999996</v>
      </c>
    </row>
    <row r="696" spans="1:8" x14ac:dyDescent="0.35">
      <c r="A696" s="11">
        <v>41768</v>
      </c>
      <c r="B696" s="12">
        <v>1755</v>
      </c>
      <c r="C696" s="13" t="s">
        <v>27</v>
      </c>
      <c r="D696" s="13" t="s">
        <v>32</v>
      </c>
      <c r="E696" s="13" t="s">
        <v>29</v>
      </c>
      <c r="F696" s="13">
        <v>7</v>
      </c>
      <c r="G696" s="13">
        <v>12075</v>
      </c>
      <c r="H696" s="13">
        <v>3560.6760000000004</v>
      </c>
    </row>
    <row r="697" spans="1:8" x14ac:dyDescent="0.35">
      <c r="A697" s="11">
        <v>41769</v>
      </c>
      <c r="B697" s="12">
        <v>1756</v>
      </c>
      <c r="C697" s="13" t="s">
        <v>23</v>
      </c>
      <c r="D697" s="13" t="s">
        <v>32</v>
      </c>
      <c r="E697" s="13" t="s">
        <v>29</v>
      </c>
      <c r="F697" s="13">
        <v>8</v>
      </c>
      <c r="G697" s="13">
        <v>9312</v>
      </c>
      <c r="H697" s="13">
        <v>2769.1560000000004</v>
      </c>
    </row>
    <row r="698" spans="1:8" x14ac:dyDescent="0.35">
      <c r="A698" s="11">
        <v>41770</v>
      </c>
      <c r="B698" s="12">
        <v>1757</v>
      </c>
      <c r="C698" s="13" t="s">
        <v>26</v>
      </c>
      <c r="D698" s="13" t="s">
        <v>32</v>
      </c>
      <c r="E698" s="13" t="s">
        <v>29</v>
      </c>
      <c r="F698" s="13">
        <v>10</v>
      </c>
      <c r="G698" s="13">
        <v>1515</v>
      </c>
      <c r="H698" s="13">
        <v>1805.2740000000001</v>
      </c>
    </row>
    <row r="699" spans="1:8" x14ac:dyDescent="0.35">
      <c r="A699" s="11">
        <v>41771</v>
      </c>
      <c r="B699" s="12">
        <v>2127</v>
      </c>
      <c r="C699" s="13" t="s">
        <v>27</v>
      </c>
      <c r="D699" s="13" t="s">
        <v>32</v>
      </c>
      <c r="E699" s="13" t="s">
        <v>25</v>
      </c>
      <c r="F699" s="13">
        <v>9</v>
      </c>
      <c r="G699" s="13">
        <v>9247.5</v>
      </c>
      <c r="H699" s="13">
        <v>3758.1840000000002</v>
      </c>
    </row>
    <row r="700" spans="1:8" x14ac:dyDescent="0.35">
      <c r="A700" s="11">
        <v>41772</v>
      </c>
      <c r="B700" s="12">
        <v>2128</v>
      </c>
      <c r="C700" s="13" t="s">
        <v>23</v>
      </c>
      <c r="D700" s="13" t="s">
        <v>32</v>
      </c>
      <c r="E700" s="13" t="s">
        <v>25</v>
      </c>
      <c r="F700" s="13">
        <v>7</v>
      </c>
      <c r="G700" s="13">
        <v>6237</v>
      </c>
      <c r="H700" s="13">
        <v>2046.9834000000001</v>
      </c>
    </row>
    <row r="701" spans="1:8" x14ac:dyDescent="0.35">
      <c r="A701" s="11">
        <v>41773</v>
      </c>
      <c r="B701" s="12">
        <v>2129</v>
      </c>
      <c r="C701" s="13" t="s">
        <v>26</v>
      </c>
      <c r="D701" s="13" t="s">
        <v>32</v>
      </c>
      <c r="E701" s="13" t="s">
        <v>25</v>
      </c>
      <c r="F701" s="13">
        <v>8</v>
      </c>
      <c r="G701" s="13">
        <v>7056</v>
      </c>
      <c r="H701" s="13">
        <v>617.57640000000004</v>
      </c>
    </row>
    <row r="702" spans="1:8" x14ac:dyDescent="0.35">
      <c r="A702" s="11">
        <v>41774</v>
      </c>
      <c r="B702" s="12">
        <v>2130</v>
      </c>
      <c r="C702" s="13" t="s">
        <v>27</v>
      </c>
      <c r="D702" s="13" t="s">
        <v>32</v>
      </c>
      <c r="E702" s="13" t="s">
        <v>28</v>
      </c>
      <c r="F702" s="13">
        <v>8</v>
      </c>
      <c r="G702" s="13">
        <v>7152</v>
      </c>
      <c r="H702" s="13">
        <v>3874.5960000000005</v>
      </c>
    </row>
    <row r="703" spans="1:8" x14ac:dyDescent="0.35">
      <c r="A703" s="11">
        <v>41775</v>
      </c>
      <c r="B703" s="12">
        <v>2131</v>
      </c>
      <c r="C703" s="13" t="s">
        <v>23</v>
      </c>
      <c r="D703" s="13" t="s">
        <v>32</v>
      </c>
      <c r="E703" s="13" t="s">
        <v>28</v>
      </c>
      <c r="F703" s="13">
        <v>8</v>
      </c>
      <c r="G703" s="13">
        <v>2844</v>
      </c>
      <c r="H703" s="13">
        <v>2884.6691999999998</v>
      </c>
    </row>
    <row r="704" spans="1:8" x14ac:dyDescent="0.35">
      <c r="A704" s="11">
        <v>41776</v>
      </c>
      <c r="B704" s="12">
        <v>1767</v>
      </c>
      <c r="C704" s="13" t="s">
        <v>27</v>
      </c>
      <c r="D704" s="13" t="s">
        <v>32</v>
      </c>
      <c r="E704" s="13" t="s">
        <v>25</v>
      </c>
      <c r="F704" s="13">
        <v>9</v>
      </c>
      <c r="G704" s="13">
        <v>4347</v>
      </c>
      <c r="H704" s="13">
        <v>4315.4842500000004</v>
      </c>
    </row>
    <row r="705" spans="1:8" x14ac:dyDescent="0.35">
      <c r="A705" s="11">
        <v>41777</v>
      </c>
      <c r="B705" s="12">
        <v>2132</v>
      </c>
      <c r="C705" s="13" t="s">
        <v>26</v>
      </c>
      <c r="D705" s="13" t="s">
        <v>32</v>
      </c>
      <c r="E705" s="13" t="s">
        <v>28</v>
      </c>
      <c r="F705" s="13">
        <v>9</v>
      </c>
      <c r="G705" s="13">
        <v>10764</v>
      </c>
      <c r="H705" s="13">
        <v>3164.616</v>
      </c>
    </row>
    <row r="706" spans="1:8" x14ac:dyDescent="0.35">
      <c r="A706" s="11">
        <v>41778</v>
      </c>
      <c r="B706" s="12">
        <v>1768</v>
      </c>
      <c r="C706" s="13" t="s">
        <v>23</v>
      </c>
      <c r="D706" s="13" t="s">
        <v>32</v>
      </c>
      <c r="E706" s="13" t="s">
        <v>25</v>
      </c>
      <c r="F706" s="13">
        <v>9</v>
      </c>
      <c r="G706" s="13">
        <v>1755</v>
      </c>
      <c r="H706" s="13">
        <v>1889.0819999999999</v>
      </c>
    </row>
    <row r="707" spans="1:8" x14ac:dyDescent="0.35">
      <c r="A707" s="11">
        <v>41779</v>
      </c>
      <c r="B707" s="12">
        <v>2133</v>
      </c>
      <c r="C707" s="13" t="s">
        <v>27</v>
      </c>
      <c r="D707" s="13" t="s">
        <v>32</v>
      </c>
      <c r="E707" s="13" t="s">
        <v>29</v>
      </c>
      <c r="F707" s="13">
        <v>7</v>
      </c>
      <c r="G707" s="13">
        <v>1701</v>
      </c>
      <c r="H707" s="13">
        <v>1430.8811999999998</v>
      </c>
    </row>
    <row r="708" spans="1:8" x14ac:dyDescent="0.35">
      <c r="A708" s="11">
        <v>41780</v>
      </c>
      <c r="B708" s="12">
        <v>1769</v>
      </c>
      <c r="C708" s="13" t="s">
        <v>26</v>
      </c>
      <c r="D708" s="13" t="s">
        <v>32</v>
      </c>
      <c r="E708" s="13" t="s">
        <v>25</v>
      </c>
      <c r="F708" s="13">
        <v>8</v>
      </c>
      <c r="G708" s="13">
        <v>6240</v>
      </c>
      <c r="H708" s="13">
        <v>1462.5</v>
      </c>
    </row>
    <row r="709" spans="1:8" x14ac:dyDescent="0.35">
      <c r="A709" s="11">
        <v>41781</v>
      </c>
      <c r="B709" s="12">
        <v>2134</v>
      </c>
      <c r="C709" s="13" t="s">
        <v>23</v>
      </c>
      <c r="D709" s="13" t="s">
        <v>32</v>
      </c>
      <c r="E709" s="13" t="s">
        <v>29</v>
      </c>
      <c r="F709" s="13">
        <v>9</v>
      </c>
      <c r="G709" s="13">
        <v>7533</v>
      </c>
      <c r="H709" s="13">
        <v>3037.3056000000001</v>
      </c>
    </row>
    <row r="710" spans="1:8" x14ac:dyDescent="0.35">
      <c r="A710" s="11">
        <v>41782</v>
      </c>
      <c r="B710" s="12">
        <v>1770</v>
      </c>
      <c r="C710" s="13" t="s">
        <v>27</v>
      </c>
      <c r="D710" s="13" t="s">
        <v>32</v>
      </c>
      <c r="E710" s="13" t="s">
        <v>28</v>
      </c>
      <c r="F710" s="13">
        <v>8</v>
      </c>
      <c r="G710" s="13">
        <v>2604</v>
      </c>
      <c r="H710" s="13">
        <v>1796.7599999999998</v>
      </c>
    </row>
    <row r="711" spans="1:8" x14ac:dyDescent="0.35">
      <c r="A711" s="11">
        <v>41783</v>
      </c>
      <c r="B711" s="12">
        <v>2135</v>
      </c>
      <c r="C711" s="13" t="s">
        <v>26</v>
      </c>
      <c r="D711" s="13" t="s">
        <v>32</v>
      </c>
      <c r="E711" s="13" t="s">
        <v>29</v>
      </c>
      <c r="F711" s="13">
        <v>6</v>
      </c>
      <c r="G711" s="13">
        <v>9216</v>
      </c>
      <c r="H711" s="13">
        <v>3578.5727999999995</v>
      </c>
    </row>
    <row r="712" spans="1:8" x14ac:dyDescent="0.35">
      <c r="A712" s="11">
        <v>41784</v>
      </c>
      <c r="B712" s="12">
        <v>1771</v>
      </c>
      <c r="C712" s="13" t="s">
        <v>23</v>
      </c>
      <c r="D712" s="13" t="s">
        <v>32</v>
      </c>
      <c r="E712" s="13" t="s">
        <v>28</v>
      </c>
      <c r="F712" s="13">
        <v>7</v>
      </c>
      <c r="G712" s="13">
        <v>8400</v>
      </c>
      <c r="H712" s="13">
        <v>1267.98</v>
      </c>
    </row>
    <row r="713" spans="1:8" x14ac:dyDescent="0.35">
      <c r="A713" s="11">
        <v>41785</v>
      </c>
      <c r="B713" s="12">
        <v>2136</v>
      </c>
      <c r="C713" s="13" t="s">
        <v>27</v>
      </c>
      <c r="D713" s="13" t="s">
        <v>32</v>
      </c>
      <c r="E713" s="13" t="s">
        <v>25</v>
      </c>
      <c r="F713" s="13">
        <v>8</v>
      </c>
      <c r="G713" s="13">
        <v>9900</v>
      </c>
      <c r="H713" s="13">
        <v>2138.9940000000001</v>
      </c>
    </row>
    <row r="714" spans="1:8" x14ac:dyDescent="0.35">
      <c r="A714" s="11">
        <v>41786</v>
      </c>
      <c r="B714" s="12">
        <v>1772</v>
      </c>
      <c r="C714" s="13" t="s">
        <v>26</v>
      </c>
      <c r="D714" s="13" t="s">
        <v>32</v>
      </c>
      <c r="E714" s="13" t="s">
        <v>28</v>
      </c>
      <c r="F714" s="13">
        <v>10</v>
      </c>
      <c r="G714" s="13">
        <v>7980</v>
      </c>
      <c r="H714" s="13">
        <v>2863.2240000000002</v>
      </c>
    </row>
    <row r="715" spans="1:8" x14ac:dyDescent="0.35">
      <c r="A715" s="11">
        <v>41787</v>
      </c>
      <c r="B715" s="12">
        <v>2137</v>
      </c>
      <c r="C715" s="13" t="s">
        <v>23</v>
      </c>
      <c r="D715" s="13" t="s">
        <v>32</v>
      </c>
      <c r="E715" s="13" t="s">
        <v>25</v>
      </c>
      <c r="F715" s="13">
        <v>6</v>
      </c>
      <c r="G715" s="13">
        <v>5292</v>
      </c>
      <c r="H715" s="13">
        <v>1144.1303999999998</v>
      </c>
    </row>
    <row r="716" spans="1:8" x14ac:dyDescent="0.35">
      <c r="A716" s="11">
        <v>41788</v>
      </c>
      <c r="B716" s="12">
        <v>1773</v>
      </c>
      <c r="C716" s="13" t="s">
        <v>27</v>
      </c>
      <c r="D716" s="13" t="s">
        <v>32</v>
      </c>
      <c r="E716" s="13" t="s">
        <v>29</v>
      </c>
      <c r="F716" s="13">
        <v>6</v>
      </c>
      <c r="G716" s="13">
        <v>8280</v>
      </c>
      <c r="H716" s="13">
        <v>2036.88</v>
      </c>
    </row>
    <row r="717" spans="1:8" x14ac:dyDescent="0.35">
      <c r="A717" s="11">
        <v>41789</v>
      </c>
      <c r="B717" s="12">
        <v>2138</v>
      </c>
      <c r="C717" s="13" t="s">
        <v>26</v>
      </c>
      <c r="D717" s="13" t="s">
        <v>32</v>
      </c>
      <c r="E717" s="13" t="s">
        <v>25</v>
      </c>
      <c r="F717" s="13">
        <v>6</v>
      </c>
      <c r="G717" s="13">
        <v>2583</v>
      </c>
      <c r="H717" s="13">
        <v>4184.4600000000009</v>
      </c>
    </row>
    <row r="718" spans="1:8" x14ac:dyDescent="0.35">
      <c r="A718" s="11">
        <v>41790</v>
      </c>
      <c r="B718" s="12">
        <v>1774</v>
      </c>
      <c r="C718" s="13" t="s">
        <v>23</v>
      </c>
      <c r="D718" s="13" t="s">
        <v>32</v>
      </c>
      <c r="E718" s="13" t="s">
        <v>29</v>
      </c>
      <c r="F718" s="13">
        <v>9</v>
      </c>
      <c r="G718" s="13">
        <v>11790</v>
      </c>
      <c r="H718" s="13">
        <v>2415.0635999999995</v>
      </c>
    </row>
    <row r="719" spans="1:8" x14ac:dyDescent="0.35">
      <c r="A719" s="11">
        <v>41791</v>
      </c>
      <c r="B719" s="12">
        <v>2139</v>
      </c>
      <c r="C719" s="13" t="s">
        <v>27</v>
      </c>
      <c r="D719" s="13" t="s">
        <v>32</v>
      </c>
      <c r="E719" s="13" t="s">
        <v>28</v>
      </c>
      <c r="F719" s="13">
        <v>8</v>
      </c>
      <c r="G719" s="13">
        <v>7632</v>
      </c>
      <c r="H719" s="13">
        <v>1537.5936000000002</v>
      </c>
    </row>
    <row r="720" spans="1:8" x14ac:dyDescent="0.35">
      <c r="A720" s="11">
        <v>41792</v>
      </c>
      <c r="B720" s="12">
        <v>1775</v>
      </c>
      <c r="C720" s="13" t="s">
        <v>26</v>
      </c>
      <c r="D720" s="13" t="s">
        <v>32</v>
      </c>
      <c r="E720" s="13" t="s">
        <v>29</v>
      </c>
      <c r="F720" s="13">
        <v>6</v>
      </c>
      <c r="G720" s="13">
        <v>9585</v>
      </c>
      <c r="H720" s="13">
        <v>3308.7420000000002</v>
      </c>
    </row>
    <row r="721" spans="1:8" x14ac:dyDescent="0.35">
      <c r="A721" s="11">
        <v>41793</v>
      </c>
      <c r="B721" s="12">
        <v>2140</v>
      </c>
      <c r="C721" s="13" t="s">
        <v>23</v>
      </c>
      <c r="D721" s="13" t="s">
        <v>32</v>
      </c>
      <c r="E721" s="13" t="s">
        <v>28</v>
      </c>
      <c r="F721" s="13">
        <v>8</v>
      </c>
      <c r="G721" s="13">
        <v>8340</v>
      </c>
      <c r="H721" s="13">
        <v>3338.5019999999995</v>
      </c>
    </row>
    <row r="722" spans="1:8" x14ac:dyDescent="0.35">
      <c r="A722" s="11">
        <v>41794</v>
      </c>
      <c r="B722" s="12">
        <v>1776</v>
      </c>
      <c r="C722" s="13" t="s">
        <v>27</v>
      </c>
      <c r="D722" s="13" t="s">
        <v>32</v>
      </c>
      <c r="E722" s="13" t="s">
        <v>25</v>
      </c>
      <c r="F722" s="13">
        <v>9</v>
      </c>
      <c r="G722" s="13">
        <v>7398</v>
      </c>
      <c r="H722" s="13">
        <v>2918.511</v>
      </c>
    </row>
    <row r="723" spans="1:8" x14ac:dyDescent="0.35">
      <c r="A723" s="11">
        <v>41795</v>
      </c>
      <c r="B723" s="12">
        <v>2141</v>
      </c>
      <c r="C723" s="13" t="s">
        <v>26</v>
      </c>
      <c r="D723" s="13" t="s">
        <v>32</v>
      </c>
      <c r="E723" s="13" t="s">
        <v>28</v>
      </c>
      <c r="F723" s="13">
        <v>8</v>
      </c>
      <c r="G723" s="13">
        <v>5232</v>
      </c>
      <c r="H723" s="13">
        <v>4387.5551999999998</v>
      </c>
    </row>
    <row r="724" spans="1:8" x14ac:dyDescent="0.35">
      <c r="A724" s="11">
        <v>41796</v>
      </c>
      <c r="B724" s="12">
        <v>1777</v>
      </c>
      <c r="C724" s="13" t="s">
        <v>23</v>
      </c>
      <c r="D724" s="13" t="s">
        <v>32</v>
      </c>
      <c r="E724" s="13" t="s">
        <v>25</v>
      </c>
      <c r="F724" s="13">
        <v>7</v>
      </c>
      <c r="G724" s="13">
        <v>2063.25</v>
      </c>
      <c r="H724" s="13">
        <v>2027.7620999999997</v>
      </c>
    </row>
    <row r="725" spans="1:8" x14ac:dyDescent="0.35">
      <c r="A725" s="11">
        <v>41797</v>
      </c>
      <c r="B725" s="12">
        <v>2142</v>
      </c>
      <c r="C725" s="13" t="s">
        <v>27</v>
      </c>
      <c r="D725" s="13" t="s">
        <v>32</v>
      </c>
      <c r="E725" s="13" t="s">
        <v>29</v>
      </c>
      <c r="F725" s="13">
        <v>8</v>
      </c>
      <c r="G725" s="13">
        <v>4096</v>
      </c>
      <c r="H725" s="13">
        <v>846.4384</v>
      </c>
    </row>
    <row r="726" spans="1:8" x14ac:dyDescent="0.35">
      <c r="A726" s="11">
        <v>41798</v>
      </c>
      <c r="B726" s="12">
        <v>1778</v>
      </c>
      <c r="C726" s="13" t="s">
        <v>26</v>
      </c>
      <c r="D726" s="13" t="s">
        <v>32</v>
      </c>
      <c r="E726" s="13" t="s">
        <v>25</v>
      </c>
      <c r="F726" s="13">
        <v>6</v>
      </c>
      <c r="G726" s="13">
        <v>1764</v>
      </c>
      <c r="H726" s="13">
        <v>2071.2888000000003</v>
      </c>
    </row>
    <row r="727" spans="1:8" x14ac:dyDescent="0.35">
      <c r="A727" s="11">
        <v>41799</v>
      </c>
      <c r="B727" s="12">
        <v>2143</v>
      </c>
      <c r="C727" s="13" t="s">
        <v>23</v>
      </c>
      <c r="D727" s="13" t="s">
        <v>32</v>
      </c>
      <c r="E727" s="13" t="s">
        <v>29</v>
      </c>
      <c r="F727" s="13">
        <v>8</v>
      </c>
      <c r="G727" s="13">
        <v>4224</v>
      </c>
      <c r="H727" s="13">
        <v>1311.9744000000001</v>
      </c>
    </row>
    <row r="728" spans="1:8" x14ac:dyDescent="0.35">
      <c r="A728" s="11">
        <v>41800</v>
      </c>
      <c r="B728" s="12">
        <v>1779</v>
      </c>
      <c r="C728" s="13" t="s">
        <v>27</v>
      </c>
      <c r="D728" s="13" t="s">
        <v>32</v>
      </c>
      <c r="E728" s="13" t="s">
        <v>28</v>
      </c>
      <c r="F728" s="13">
        <v>8</v>
      </c>
      <c r="G728" s="13">
        <v>9720</v>
      </c>
      <c r="H728" s="13">
        <v>1168.7327999999998</v>
      </c>
    </row>
    <row r="729" spans="1:8" x14ac:dyDescent="0.35">
      <c r="A729" s="11">
        <v>41801</v>
      </c>
      <c r="B729" s="12">
        <v>2144</v>
      </c>
      <c r="C729" s="13" t="s">
        <v>26</v>
      </c>
      <c r="D729" s="13" t="s">
        <v>32</v>
      </c>
      <c r="E729" s="13" t="s">
        <v>29</v>
      </c>
      <c r="F729" s="13">
        <v>7</v>
      </c>
      <c r="G729" s="13">
        <v>1984.5</v>
      </c>
      <c r="H729" s="13">
        <v>887.26994999999988</v>
      </c>
    </row>
    <row r="730" spans="1:8" x14ac:dyDescent="0.35">
      <c r="A730" s="11">
        <v>41802</v>
      </c>
      <c r="B730" s="12">
        <v>1780</v>
      </c>
      <c r="C730" s="13" t="s">
        <v>23</v>
      </c>
      <c r="D730" s="13" t="s">
        <v>32</v>
      </c>
      <c r="E730" s="13" t="s">
        <v>28</v>
      </c>
      <c r="F730" s="13">
        <v>8</v>
      </c>
      <c r="G730" s="13">
        <v>1848</v>
      </c>
      <c r="H730" s="13">
        <v>2184.3360000000002</v>
      </c>
    </row>
    <row r="731" spans="1:8" x14ac:dyDescent="0.35">
      <c r="A731" s="11">
        <v>41803</v>
      </c>
      <c r="B731" s="12">
        <v>2145</v>
      </c>
      <c r="C731" s="13" t="s">
        <v>27</v>
      </c>
      <c r="D731" s="13" t="s">
        <v>32</v>
      </c>
      <c r="E731" s="13" t="s">
        <v>25</v>
      </c>
      <c r="F731" s="13">
        <v>9</v>
      </c>
      <c r="G731" s="13">
        <v>12330</v>
      </c>
      <c r="H731" s="13">
        <v>2632.9481999999998</v>
      </c>
    </row>
    <row r="732" spans="1:8" x14ac:dyDescent="0.35">
      <c r="A732" s="11">
        <v>41804</v>
      </c>
      <c r="B732" s="12">
        <v>1781</v>
      </c>
      <c r="C732" s="13" t="s">
        <v>26</v>
      </c>
      <c r="D732" s="13" t="s">
        <v>32</v>
      </c>
      <c r="E732" s="13" t="s">
        <v>28</v>
      </c>
      <c r="F732" s="13">
        <v>9</v>
      </c>
      <c r="G732" s="13">
        <v>5751</v>
      </c>
      <c r="H732" s="13">
        <v>3659.9363999999996</v>
      </c>
    </row>
    <row r="733" spans="1:8" x14ac:dyDescent="0.35">
      <c r="A733" s="11">
        <v>41805</v>
      </c>
      <c r="B733" s="12">
        <v>2146</v>
      </c>
      <c r="C733" s="13" t="s">
        <v>23</v>
      </c>
      <c r="D733" s="13" t="s">
        <v>32</v>
      </c>
      <c r="E733" s="13" t="s">
        <v>25</v>
      </c>
      <c r="F733" s="13">
        <v>9</v>
      </c>
      <c r="G733" s="13">
        <v>4770</v>
      </c>
      <c r="H733" s="13">
        <v>3885.1649999999995</v>
      </c>
    </row>
    <row r="734" spans="1:8" x14ac:dyDescent="0.35">
      <c r="A734" s="11">
        <v>41806</v>
      </c>
      <c r="B734" s="12">
        <v>1782</v>
      </c>
      <c r="C734" s="13" t="s">
        <v>27</v>
      </c>
      <c r="D734" s="13" t="s">
        <v>32</v>
      </c>
      <c r="E734" s="13" t="s">
        <v>29</v>
      </c>
      <c r="F734" s="13">
        <v>10</v>
      </c>
      <c r="G734" s="13">
        <v>2280</v>
      </c>
      <c r="H734" s="13">
        <v>2545.1639999999998</v>
      </c>
    </row>
    <row r="735" spans="1:8" x14ac:dyDescent="0.35">
      <c r="A735" s="11">
        <v>41807</v>
      </c>
      <c r="B735" s="12">
        <v>2147</v>
      </c>
      <c r="C735" s="13" t="s">
        <v>26</v>
      </c>
      <c r="D735" s="13" t="s">
        <v>32</v>
      </c>
      <c r="E735" s="13" t="s">
        <v>25</v>
      </c>
      <c r="F735" s="13">
        <v>7</v>
      </c>
      <c r="G735" s="13">
        <v>13702.5</v>
      </c>
      <c r="H735" s="13">
        <v>2810.1086999999998</v>
      </c>
    </row>
    <row r="736" spans="1:8" x14ac:dyDescent="0.35">
      <c r="A736" s="11">
        <v>41808</v>
      </c>
      <c r="B736" s="12">
        <v>1783</v>
      </c>
      <c r="C736" s="13" t="s">
        <v>23</v>
      </c>
      <c r="D736" s="13" t="s">
        <v>32</v>
      </c>
      <c r="E736" s="13" t="s">
        <v>29</v>
      </c>
      <c r="F736" s="13">
        <v>10</v>
      </c>
      <c r="G736" s="13">
        <v>7740</v>
      </c>
      <c r="H736" s="13">
        <v>819.279</v>
      </c>
    </row>
    <row r="737" spans="1:8" x14ac:dyDescent="0.35">
      <c r="A737" s="11">
        <v>41809</v>
      </c>
      <c r="B737" s="12">
        <v>2148</v>
      </c>
      <c r="C737" s="13" t="s">
        <v>27</v>
      </c>
      <c r="D737" s="13" t="s">
        <v>32</v>
      </c>
      <c r="E737" s="13" t="s">
        <v>28</v>
      </c>
      <c r="F737" s="13">
        <v>6</v>
      </c>
      <c r="G737" s="13">
        <v>5040</v>
      </c>
      <c r="H737" s="13">
        <v>2804.7599999999998</v>
      </c>
    </row>
    <row r="738" spans="1:8" x14ac:dyDescent="0.35">
      <c r="A738" s="11">
        <v>41810</v>
      </c>
      <c r="B738" s="12">
        <v>1784</v>
      </c>
      <c r="C738" s="13" t="s">
        <v>26</v>
      </c>
      <c r="D738" s="13" t="s">
        <v>32</v>
      </c>
      <c r="E738" s="13" t="s">
        <v>29</v>
      </c>
      <c r="F738" s="13">
        <v>8</v>
      </c>
      <c r="G738" s="13">
        <v>6372</v>
      </c>
      <c r="H738" s="13">
        <v>3767.9759999999997</v>
      </c>
    </row>
    <row r="739" spans="1:8" x14ac:dyDescent="0.35">
      <c r="A739" s="11">
        <v>41811</v>
      </c>
      <c r="B739" s="12">
        <v>2149</v>
      </c>
      <c r="C739" s="13" t="s">
        <v>23</v>
      </c>
      <c r="D739" s="13" t="s">
        <v>32</v>
      </c>
      <c r="E739" s="13" t="s">
        <v>28</v>
      </c>
      <c r="F739" s="13">
        <v>9</v>
      </c>
      <c r="G739" s="13">
        <v>2160</v>
      </c>
      <c r="H739" s="13">
        <v>4688.28</v>
      </c>
    </row>
    <row r="740" spans="1:8" x14ac:dyDescent="0.35">
      <c r="A740" s="11">
        <v>41812</v>
      </c>
      <c r="B740" s="12">
        <v>1785</v>
      </c>
      <c r="C740" s="13" t="s">
        <v>27</v>
      </c>
      <c r="D740" s="13" t="s">
        <v>32</v>
      </c>
      <c r="E740" s="13" t="s">
        <v>25</v>
      </c>
      <c r="F740" s="13">
        <v>10</v>
      </c>
      <c r="G740" s="13">
        <v>7680</v>
      </c>
      <c r="H740" s="13">
        <v>3141.6320000000001</v>
      </c>
    </row>
    <row r="741" spans="1:8" x14ac:dyDescent="0.35">
      <c r="A741" s="11">
        <v>41813</v>
      </c>
      <c r="B741" s="12">
        <v>2150</v>
      </c>
      <c r="C741" s="13" t="s">
        <v>26</v>
      </c>
      <c r="D741" s="13" t="s">
        <v>32</v>
      </c>
      <c r="E741" s="13" t="s">
        <v>28</v>
      </c>
      <c r="F741" s="13">
        <v>10</v>
      </c>
      <c r="G741" s="13">
        <v>4320</v>
      </c>
      <c r="H741" s="13">
        <v>3841.3440000000001</v>
      </c>
    </row>
    <row r="742" spans="1:8" x14ac:dyDescent="0.35">
      <c r="A742" s="11">
        <v>41814</v>
      </c>
      <c r="B742" s="12">
        <v>1786</v>
      </c>
      <c r="C742" s="13" t="s">
        <v>23</v>
      </c>
      <c r="D742" s="13" t="s">
        <v>32</v>
      </c>
      <c r="E742" s="13" t="s">
        <v>25</v>
      </c>
      <c r="F742" s="13">
        <v>10</v>
      </c>
      <c r="G742" s="13">
        <v>11700</v>
      </c>
      <c r="H742" s="13">
        <v>2947.4639999999999</v>
      </c>
    </row>
    <row r="743" spans="1:8" x14ac:dyDescent="0.35">
      <c r="A743" s="11">
        <v>41815</v>
      </c>
      <c r="B743" s="12">
        <v>2151</v>
      </c>
      <c r="C743" s="13" t="s">
        <v>27</v>
      </c>
      <c r="D743" s="13" t="s">
        <v>32</v>
      </c>
      <c r="E743" s="13" t="s">
        <v>29</v>
      </c>
      <c r="F743" s="13">
        <v>6</v>
      </c>
      <c r="G743" s="13">
        <v>4428</v>
      </c>
      <c r="H743" s="13">
        <v>1409.8752000000002</v>
      </c>
    </row>
    <row r="744" spans="1:8" x14ac:dyDescent="0.35">
      <c r="A744" s="11">
        <v>41816</v>
      </c>
      <c r="B744" s="12">
        <v>1787</v>
      </c>
      <c r="C744" s="13" t="s">
        <v>26</v>
      </c>
      <c r="D744" s="13" t="s">
        <v>32</v>
      </c>
      <c r="E744" s="13" t="s">
        <v>25</v>
      </c>
      <c r="F744" s="13">
        <v>8</v>
      </c>
      <c r="G744" s="13">
        <v>11280</v>
      </c>
      <c r="H744" s="13">
        <v>819.37920000000008</v>
      </c>
    </row>
    <row r="745" spans="1:8" x14ac:dyDescent="0.35">
      <c r="A745" s="11">
        <v>41817</v>
      </c>
      <c r="B745" s="12">
        <v>2152</v>
      </c>
      <c r="C745" s="13" t="s">
        <v>23</v>
      </c>
      <c r="D745" s="13" t="s">
        <v>32</v>
      </c>
      <c r="E745" s="13" t="s">
        <v>29</v>
      </c>
      <c r="F745" s="13">
        <v>6</v>
      </c>
      <c r="G745" s="13">
        <v>4333.5</v>
      </c>
      <c r="H745" s="13">
        <v>2646.3240000000001</v>
      </c>
    </row>
    <row r="746" spans="1:8" x14ac:dyDescent="0.35">
      <c r="A746" s="11">
        <v>41818</v>
      </c>
      <c r="B746" s="12">
        <v>1788</v>
      </c>
      <c r="C746" s="13" t="s">
        <v>27</v>
      </c>
      <c r="D746" s="13" t="s">
        <v>32</v>
      </c>
      <c r="E746" s="13" t="s">
        <v>28</v>
      </c>
      <c r="F746" s="13">
        <v>10</v>
      </c>
      <c r="G746" s="13">
        <v>6360</v>
      </c>
      <c r="H746" s="13">
        <v>937.88800000000003</v>
      </c>
    </row>
    <row r="747" spans="1:8" x14ac:dyDescent="0.35">
      <c r="A747" s="11">
        <v>41819</v>
      </c>
      <c r="B747" s="12">
        <v>2153</v>
      </c>
      <c r="C747" s="13" t="s">
        <v>26</v>
      </c>
      <c r="D747" s="13" t="s">
        <v>32</v>
      </c>
      <c r="E747" s="13" t="s">
        <v>29</v>
      </c>
      <c r="F747" s="13">
        <v>6</v>
      </c>
      <c r="G747" s="13">
        <v>4932</v>
      </c>
      <c r="H747" s="13">
        <v>2954.0214000000001</v>
      </c>
    </row>
    <row r="748" spans="1:8" x14ac:dyDescent="0.35">
      <c r="A748" s="11">
        <v>41820</v>
      </c>
      <c r="B748" s="12">
        <v>1789</v>
      </c>
      <c r="C748" s="13" t="s">
        <v>23</v>
      </c>
      <c r="D748" s="13" t="s">
        <v>32</v>
      </c>
      <c r="E748" s="13" t="s">
        <v>28</v>
      </c>
      <c r="F748" s="13">
        <v>10</v>
      </c>
      <c r="G748" s="13">
        <v>5220</v>
      </c>
      <c r="H748" s="13">
        <v>1821.258</v>
      </c>
    </row>
    <row r="749" spans="1:8" x14ac:dyDescent="0.35">
      <c r="A749" s="11">
        <v>41821</v>
      </c>
      <c r="B749" s="12">
        <v>1790</v>
      </c>
      <c r="C749" s="13" t="s">
        <v>26</v>
      </c>
      <c r="D749" s="13" t="s">
        <v>32</v>
      </c>
      <c r="E749" s="13" t="s">
        <v>28</v>
      </c>
      <c r="F749" s="13">
        <v>7</v>
      </c>
      <c r="G749" s="13">
        <v>6709.5</v>
      </c>
      <c r="H749" s="13">
        <v>3329.7012</v>
      </c>
    </row>
    <row r="750" spans="1:8" x14ac:dyDescent="0.35">
      <c r="A750" s="11">
        <v>41822</v>
      </c>
      <c r="B750" s="12">
        <v>1791</v>
      </c>
      <c r="C750" s="13" t="s">
        <v>27</v>
      </c>
      <c r="D750" s="13" t="s">
        <v>32</v>
      </c>
      <c r="E750" s="13" t="s">
        <v>29</v>
      </c>
      <c r="F750" s="13">
        <v>9</v>
      </c>
      <c r="G750" s="13">
        <v>10170</v>
      </c>
      <c r="H750" s="13">
        <v>2013.0498000000002</v>
      </c>
    </row>
    <row r="751" spans="1:8" x14ac:dyDescent="0.35">
      <c r="A751" s="11">
        <v>41823</v>
      </c>
      <c r="B751" s="12">
        <v>1792</v>
      </c>
      <c r="C751" s="13" t="s">
        <v>23</v>
      </c>
      <c r="D751" s="13" t="s">
        <v>32</v>
      </c>
      <c r="E751" s="13" t="s">
        <v>29</v>
      </c>
      <c r="F751" s="13">
        <v>6</v>
      </c>
      <c r="G751" s="13">
        <v>5004</v>
      </c>
      <c r="H751" s="13">
        <v>3896.1143999999999</v>
      </c>
    </row>
    <row r="752" spans="1:8" x14ac:dyDescent="0.35">
      <c r="A752" s="11">
        <v>41824</v>
      </c>
      <c r="B752" s="12">
        <v>1793</v>
      </c>
      <c r="C752" s="13" t="s">
        <v>26</v>
      </c>
      <c r="D752" s="13" t="s">
        <v>32</v>
      </c>
      <c r="E752" s="13" t="s">
        <v>29</v>
      </c>
      <c r="F752" s="13">
        <v>6</v>
      </c>
      <c r="G752" s="13">
        <v>8955</v>
      </c>
      <c r="H752" s="13">
        <v>543.74760000000003</v>
      </c>
    </row>
    <row r="753" spans="1:8" x14ac:dyDescent="0.35">
      <c r="A753" s="11">
        <v>41825</v>
      </c>
      <c r="B753" s="12">
        <v>1794</v>
      </c>
      <c r="C753" s="13" t="s">
        <v>27</v>
      </c>
      <c r="D753" s="13" t="s">
        <v>32</v>
      </c>
      <c r="E753" s="13" t="s">
        <v>25</v>
      </c>
      <c r="F753" s="13">
        <v>8</v>
      </c>
      <c r="G753" s="13">
        <v>6840</v>
      </c>
      <c r="H753" s="13">
        <v>957.82799999999986</v>
      </c>
    </row>
    <row r="754" spans="1:8" x14ac:dyDescent="0.35">
      <c r="A754" s="11">
        <v>41826</v>
      </c>
      <c r="B754" s="12">
        <v>2159</v>
      </c>
      <c r="C754" s="13" t="s">
        <v>26</v>
      </c>
      <c r="D754" s="13" t="s">
        <v>32</v>
      </c>
      <c r="E754" s="13" t="s">
        <v>28</v>
      </c>
      <c r="F754" s="13">
        <v>6</v>
      </c>
      <c r="G754" s="13">
        <v>1530</v>
      </c>
      <c r="H754" s="13">
        <v>2558.7720000000004</v>
      </c>
    </row>
    <row r="755" spans="1:8" x14ac:dyDescent="0.35">
      <c r="A755" s="11">
        <v>41827</v>
      </c>
      <c r="B755" s="12">
        <v>1795</v>
      </c>
      <c r="C755" s="13" t="s">
        <v>23</v>
      </c>
      <c r="D755" s="13" t="s">
        <v>32</v>
      </c>
      <c r="E755" s="13" t="s">
        <v>25</v>
      </c>
      <c r="F755" s="13">
        <v>8</v>
      </c>
      <c r="G755" s="13">
        <v>10080</v>
      </c>
      <c r="H755" s="13">
        <v>1384.992</v>
      </c>
    </row>
    <row r="756" spans="1:8" x14ac:dyDescent="0.35">
      <c r="A756" s="11">
        <v>41828</v>
      </c>
      <c r="B756" s="12">
        <v>2160</v>
      </c>
      <c r="C756" s="13" t="s">
        <v>27</v>
      </c>
      <c r="D756" s="13" t="s">
        <v>32</v>
      </c>
      <c r="E756" s="13" t="s">
        <v>29</v>
      </c>
      <c r="F756" s="13">
        <v>6</v>
      </c>
      <c r="G756" s="13">
        <v>10755</v>
      </c>
      <c r="H756" s="13">
        <v>1669.1760000000002</v>
      </c>
    </row>
    <row r="757" spans="1:8" x14ac:dyDescent="0.35">
      <c r="A757" s="11">
        <v>41829</v>
      </c>
      <c r="B757" s="12">
        <v>1796</v>
      </c>
      <c r="C757" s="13" t="s">
        <v>26</v>
      </c>
      <c r="D757" s="13" t="s">
        <v>32</v>
      </c>
      <c r="E757" s="13" t="s">
        <v>25</v>
      </c>
      <c r="F757" s="13">
        <v>10</v>
      </c>
      <c r="G757" s="13">
        <v>14025</v>
      </c>
      <c r="H757" s="13">
        <v>2904.0164999999997</v>
      </c>
    </row>
    <row r="758" spans="1:8" x14ac:dyDescent="0.35">
      <c r="A758" s="11">
        <v>40909</v>
      </c>
      <c r="B758" s="12">
        <v>2161</v>
      </c>
      <c r="C758" s="13" t="s">
        <v>23</v>
      </c>
      <c r="D758" s="13" t="s">
        <v>33</v>
      </c>
      <c r="E758" s="13" t="s">
        <v>29</v>
      </c>
      <c r="F758" s="13">
        <v>7</v>
      </c>
      <c r="G758" s="13">
        <v>9870</v>
      </c>
      <c r="H758" s="13">
        <v>1342.7148</v>
      </c>
    </row>
    <row r="759" spans="1:8" x14ac:dyDescent="0.35">
      <c r="A759" s="11">
        <v>40910</v>
      </c>
      <c r="B759" s="12">
        <v>1797</v>
      </c>
      <c r="C759" s="13" t="s">
        <v>27</v>
      </c>
      <c r="D759" s="13" t="s">
        <v>33</v>
      </c>
      <c r="E759" s="13" t="s">
        <v>28</v>
      </c>
      <c r="F759" s="13">
        <v>9</v>
      </c>
      <c r="G759" s="13">
        <v>2092.5</v>
      </c>
      <c r="H759" s="13">
        <v>1782.81</v>
      </c>
    </row>
    <row r="760" spans="1:8" x14ac:dyDescent="0.35">
      <c r="A760" s="11">
        <v>40911</v>
      </c>
      <c r="B760" s="12">
        <v>2162</v>
      </c>
      <c r="C760" s="13" t="s">
        <v>26</v>
      </c>
      <c r="D760" s="13" t="s">
        <v>33</v>
      </c>
      <c r="E760" s="13" t="s">
        <v>29</v>
      </c>
      <c r="F760" s="13">
        <v>7</v>
      </c>
      <c r="G760" s="13">
        <v>4158</v>
      </c>
      <c r="H760" s="13">
        <v>816.83910000000003</v>
      </c>
    </row>
    <row r="761" spans="1:8" x14ac:dyDescent="0.35">
      <c r="A761" s="11">
        <v>40913</v>
      </c>
      <c r="B761" s="12">
        <v>1798</v>
      </c>
      <c r="C761" s="13" t="s">
        <v>23</v>
      </c>
      <c r="D761" s="13" t="s">
        <v>33</v>
      </c>
      <c r="E761" s="13" t="s">
        <v>28</v>
      </c>
      <c r="F761" s="13">
        <v>6</v>
      </c>
      <c r="G761" s="13">
        <v>7506</v>
      </c>
      <c r="H761" s="13">
        <v>2502.5003999999999</v>
      </c>
    </row>
    <row r="762" spans="1:8" x14ac:dyDescent="0.35">
      <c r="A762" s="11">
        <v>40914</v>
      </c>
      <c r="B762" s="12">
        <v>2163</v>
      </c>
      <c r="C762" s="13" t="s">
        <v>27</v>
      </c>
      <c r="D762" s="13" t="s">
        <v>33</v>
      </c>
      <c r="E762" s="13" t="s">
        <v>25</v>
      </c>
      <c r="F762" s="13">
        <v>10</v>
      </c>
      <c r="G762" s="13">
        <v>4470</v>
      </c>
      <c r="H762" s="13">
        <v>841.25400000000002</v>
      </c>
    </row>
    <row r="763" spans="1:8" x14ac:dyDescent="0.35">
      <c r="A763" s="11">
        <v>40915</v>
      </c>
      <c r="B763" s="12">
        <v>1799</v>
      </c>
      <c r="C763" s="13" t="s">
        <v>26</v>
      </c>
      <c r="D763" s="13" t="s">
        <v>33</v>
      </c>
      <c r="E763" s="13" t="s">
        <v>28</v>
      </c>
      <c r="F763" s="13">
        <v>8</v>
      </c>
      <c r="G763" s="13">
        <v>8496</v>
      </c>
      <c r="H763" s="13">
        <v>1601.0712000000003</v>
      </c>
    </row>
    <row r="764" spans="1:8" x14ac:dyDescent="0.35">
      <c r="A764" s="11">
        <v>40916</v>
      </c>
      <c r="B764" s="12">
        <v>2164</v>
      </c>
      <c r="C764" s="13" t="s">
        <v>23</v>
      </c>
      <c r="D764" s="13" t="s">
        <v>33</v>
      </c>
      <c r="E764" s="13" t="s">
        <v>25</v>
      </c>
      <c r="F764" s="13">
        <v>10</v>
      </c>
      <c r="G764" s="13">
        <v>5860</v>
      </c>
      <c r="H764" s="13">
        <v>3559.9500000000003</v>
      </c>
    </row>
    <row r="765" spans="1:8" x14ac:dyDescent="0.35">
      <c r="A765" s="11">
        <v>40917</v>
      </c>
      <c r="B765" s="12">
        <v>1800</v>
      </c>
      <c r="C765" s="13" t="s">
        <v>27</v>
      </c>
      <c r="D765" s="13" t="s">
        <v>33</v>
      </c>
      <c r="E765" s="13" t="s">
        <v>29</v>
      </c>
      <c r="F765" s="13">
        <v>9</v>
      </c>
      <c r="G765" s="13">
        <v>14107.5</v>
      </c>
      <c r="H765" s="13">
        <v>5919.5069999999987</v>
      </c>
    </row>
    <row r="766" spans="1:8" x14ac:dyDescent="0.35">
      <c r="A766" s="11">
        <v>40918</v>
      </c>
      <c r="B766" s="12">
        <v>2165</v>
      </c>
      <c r="C766" s="13" t="s">
        <v>26</v>
      </c>
      <c r="D766" s="13" t="s">
        <v>33</v>
      </c>
      <c r="E766" s="13" t="s">
        <v>25</v>
      </c>
      <c r="F766" s="13">
        <v>10</v>
      </c>
      <c r="G766" s="13">
        <v>5670</v>
      </c>
      <c r="H766" s="13">
        <v>3617.46</v>
      </c>
    </row>
    <row r="767" spans="1:8" x14ac:dyDescent="0.35">
      <c r="A767" s="11">
        <v>40919</v>
      </c>
      <c r="B767" s="12">
        <v>1801</v>
      </c>
      <c r="C767" s="13" t="s">
        <v>23</v>
      </c>
      <c r="D767" s="13" t="s">
        <v>33</v>
      </c>
      <c r="E767" s="13" t="s">
        <v>29</v>
      </c>
      <c r="F767" s="13">
        <v>9</v>
      </c>
      <c r="G767" s="13">
        <v>12555</v>
      </c>
      <c r="H767" s="13">
        <v>1511.6219999999998</v>
      </c>
    </row>
    <row r="768" spans="1:8" x14ac:dyDescent="0.35">
      <c r="A768" s="11">
        <v>40920</v>
      </c>
      <c r="B768" s="12">
        <v>2166</v>
      </c>
      <c r="C768" s="13" t="s">
        <v>27</v>
      </c>
      <c r="D768" s="13" t="s">
        <v>33</v>
      </c>
      <c r="E768" s="13" t="s">
        <v>28</v>
      </c>
      <c r="F768" s="13">
        <v>8</v>
      </c>
      <c r="G768" s="13">
        <v>4160</v>
      </c>
      <c r="H768" s="13">
        <v>3684.72</v>
      </c>
    </row>
    <row r="769" spans="1:8" x14ac:dyDescent="0.35">
      <c r="A769" s="11">
        <v>40921</v>
      </c>
      <c r="B769" s="12">
        <v>1802</v>
      </c>
      <c r="C769" s="13" t="s">
        <v>26</v>
      </c>
      <c r="D769" s="13" t="s">
        <v>33</v>
      </c>
      <c r="E769" s="13" t="s">
        <v>29</v>
      </c>
      <c r="F769" s="13">
        <v>7</v>
      </c>
      <c r="G769" s="13">
        <v>1974</v>
      </c>
      <c r="H769" s="13">
        <v>2703.5904</v>
      </c>
    </row>
    <row r="770" spans="1:8" x14ac:dyDescent="0.35">
      <c r="A770" s="11">
        <v>40922</v>
      </c>
      <c r="B770" s="12">
        <v>2167</v>
      </c>
      <c r="C770" s="13" t="s">
        <v>23</v>
      </c>
      <c r="D770" s="13" t="s">
        <v>33</v>
      </c>
      <c r="E770" s="13" t="s">
        <v>28</v>
      </c>
      <c r="F770" s="13">
        <v>9</v>
      </c>
      <c r="G770" s="13">
        <v>4819.5</v>
      </c>
      <c r="H770" s="13">
        <v>1895.9913000000001</v>
      </c>
    </row>
    <row r="771" spans="1:8" x14ac:dyDescent="0.35">
      <c r="A771" s="11">
        <v>40923</v>
      </c>
      <c r="B771" s="12">
        <v>1803</v>
      </c>
      <c r="C771" s="13" t="s">
        <v>27</v>
      </c>
      <c r="D771" s="13" t="s">
        <v>33</v>
      </c>
      <c r="E771" s="13" t="s">
        <v>25</v>
      </c>
      <c r="F771" s="13">
        <v>8</v>
      </c>
      <c r="G771" s="13">
        <v>6912</v>
      </c>
      <c r="H771" s="13">
        <v>1589.2991999999999</v>
      </c>
    </row>
    <row r="772" spans="1:8" x14ac:dyDescent="0.35">
      <c r="A772" s="11">
        <v>40924</v>
      </c>
      <c r="B772" s="12">
        <v>2168</v>
      </c>
      <c r="C772" s="13" t="s">
        <v>26</v>
      </c>
      <c r="D772" s="13" t="s">
        <v>33</v>
      </c>
      <c r="E772" s="13" t="s">
        <v>28</v>
      </c>
      <c r="F772" s="13">
        <v>7</v>
      </c>
      <c r="G772" s="13">
        <v>5811.75</v>
      </c>
      <c r="H772" s="13">
        <v>4338.4713750000001</v>
      </c>
    </row>
    <row r="773" spans="1:8" x14ac:dyDescent="0.35">
      <c r="A773" s="11">
        <v>40925</v>
      </c>
      <c r="B773" s="12">
        <v>1804</v>
      </c>
      <c r="C773" s="13" t="s">
        <v>23</v>
      </c>
      <c r="D773" s="13" t="s">
        <v>33</v>
      </c>
      <c r="E773" s="13" t="s">
        <v>25</v>
      </c>
      <c r="F773" s="13">
        <v>7</v>
      </c>
      <c r="G773" s="13">
        <v>9502.5</v>
      </c>
      <c r="H773" s="13">
        <v>634.5769499999999</v>
      </c>
    </row>
    <row r="774" spans="1:8" x14ac:dyDescent="0.35">
      <c r="A774" s="11">
        <v>40926</v>
      </c>
      <c r="B774" s="12">
        <v>2169</v>
      </c>
      <c r="C774" s="13" t="s">
        <v>27</v>
      </c>
      <c r="D774" s="13" t="s">
        <v>33</v>
      </c>
      <c r="E774" s="13" t="s">
        <v>29</v>
      </c>
      <c r="F774" s="13">
        <v>8</v>
      </c>
      <c r="G774" s="13">
        <v>9720</v>
      </c>
      <c r="H774" s="13">
        <v>1332.0288</v>
      </c>
    </row>
    <row r="775" spans="1:8" x14ac:dyDescent="0.35">
      <c r="A775" s="11">
        <v>40927</v>
      </c>
      <c r="B775" s="12">
        <v>1805</v>
      </c>
      <c r="C775" s="13" t="s">
        <v>26</v>
      </c>
      <c r="D775" s="13" t="s">
        <v>33</v>
      </c>
      <c r="E775" s="13" t="s">
        <v>25</v>
      </c>
      <c r="F775" s="13">
        <v>10</v>
      </c>
      <c r="G775" s="13">
        <v>5400</v>
      </c>
      <c r="H775" s="13">
        <v>3489.3</v>
      </c>
    </row>
    <row r="776" spans="1:8" x14ac:dyDescent="0.35">
      <c r="A776" s="11">
        <v>40928</v>
      </c>
      <c r="B776" s="12">
        <v>2170</v>
      </c>
      <c r="C776" s="13" t="s">
        <v>23</v>
      </c>
      <c r="D776" s="13" t="s">
        <v>33</v>
      </c>
      <c r="E776" s="13" t="s">
        <v>29</v>
      </c>
      <c r="F776" s="13">
        <v>6</v>
      </c>
      <c r="G776" s="13">
        <v>8032.5</v>
      </c>
      <c r="H776" s="13">
        <v>2061.4607999999998</v>
      </c>
    </row>
    <row r="777" spans="1:8" x14ac:dyDescent="0.35">
      <c r="A777" s="11">
        <v>40929</v>
      </c>
      <c r="B777" s="12">
        <v>1806</v>
      </c>
      <c r="C777" s="13" t="s">
        <v>27</v>
      </c>
      <c r="D777" s="13" t="s">
        <v>33</v>
      </c>
      <c r="E777" s="13" t="s">
        <v>28</v>
      </c>
      <c r="F777" s="13">
        <v>6</v>
      </c>
      <c r="G777" s="13">
        <v>2133</v>
      </c>
      <c r="H777" s="13">
        <v>4209.4754999999996</v>
      </c>
    </row>
    <row r="778" spans="1:8" x14ac:dyDescent="0.35">
      <c r="A778" s="11">
        <v>40930</v>
      </c>
      <c r="B778" s="12">
        <v>2171</v>
      </c>
      <c r="C778" s="13" t="s">
        <v>26</v>
      </c>
      <c r="D778" s="13" t="s">
        <v>33</v>
      </c>
      <c r="E778" s="13" t="s">
        <v>29</v>
      </c>
      <c r="F778" s="13">
        <v>10</v>
      </c>
      <c r="G778" s="13">
        <v>4980</v>
      </c>
      <c r="H778" s="13">
        <v>1633.44</v>
      </c>
    </row>
    <row r="779" spans="1:8" x14ac:dyDescent="0.35">
      <c r="A779" s="11">
        <v>40931</v>
      </c>
      <c r="B779" s="12">
        <v>1807</v>
      </c>
      <c r="C779" s="13" t="s">
        <v>23</v>
      </c>
      <c r="D779" s="13" t="s">
        <v>33</v>
      </c>
      <c r="E779" s="13" t="s">
        <v>28</v>
      </c>
      <c r="F779" s="13">
        <v>6</v>
      </c>
      <c r="G779" s="13">
        <v>3582</v>
      </c>
      <c r="H779" s="13">
        <v>765.65250000000003</v>
      </c>
    </row>
    <row r="780" spans="1:8" x14ac:dyDescent="0.35">
      <c r="A780" s="11">
        <v>40932</v>
      </c>
      <c r="B780" s="12">
        <v>2172</v>
      </c>
      <c r="C780" s="13" t="s">
        <v>27</v>
      </c>
      <c r="D780" s="13" t="s">
        <v>33</v>
      </c>
      <c r="E780" s="13" t="s">
        <v>25</v>
      </c>
      <c r="F780" s="13">
        <v>8</v>
      </c>
      <c r="G780" s="13">
        <v>12540</v>
      </c>
      <c r="H780" s="13">
        <v>1075.6812</v>
      </c>
    </row>
    <row r="781" spans="1:8" x14ac:dyDescent="0.35">
      <c r="A781" s="11">
        <v>40933</v>
      </c>
      <c r="B781" s="12">
        <v>1808</v>
      </c>
      <c r="C781" s="13" t="s">
        <v>26</v>
      </c>
      <c r="D781" s="13" t="s">
        <v>33</v>
      </c>
      <c r="E781" s="13" t="s">
        <v>28</v>
      </c>
      <c r="F781" s="13">
        <v>10</v>
      </c>
      <c r="G781" s="13">
        <v>7335</v>
      </c>
      <c r="H781" s="13">
        <v>2410.2810000000004</v>
      </c>
    </row>
    <row r="782" spans="1:8" x14ac:dyDescent="0.35">
      <c r="A782" s="11">
        <v>40934</v>
      </c>
      <c r="B782" s="12">
        <v>2173</v>
      </c>
      <c r="C782" s="13" t="s">
        <v>23</v>
      </c>
      <c r="D782" s="13" t="s">
        <v>33</v>
      </c>
      <c r="E782" s="13" t="s">
        <v>25</v>
      </c>
      <c r="F782" s="13">
        <v>10</v>
      </c>
      <c r="G782" s="13">
        <v>2265</v>
      </c>
      <c r="H782" s="13">
        <v>4442.7974999999988</v>
      </c>
    </row>
    <row r="783" spans="1:8" x14ac:dyDescent="0.35">
      <c r="A783" s="11">
        <v>40935</v>
      </c>
      <c r="B783" s="12">
        <v>1809</v>
      </c>
      <c r="C783" s="13" t="s">
        <v>27</v>
      </c>
      <c r="D783" s="13" t="s">
        <v>33</v>
      </c>
      <c r="E783" s="13" t="s">
        <v>29</v>
      </c>
      <c r="F783" s="13">
        <v>7</v>
      </c>
      <c r="G783" s="13">
        <v>7812</v>
      </c>
      <c r="H783" s="13">
        <v>2996.6831999999999</v>
      </c>
    </row>
    <row r="784" spans="1:8" x14ac:dyDescent="0.35">
      <c r="A784" s="11">
        <v>40936</v>
      </c>
      <c r="B784" s="12">
        <v>2174</v>
      </c>
      <c r="C784" s="13" t="s">
        <v>26</v>
      </c>
      <c r="D784" s="13" t="s">
        <v>33</v>
      </c>
      <c r="E784" s="13" t="s">
        <v>25</v>
      </c>
      <c r="F784" s="13">
        <v>8</v>
      </c>
      <c r="G784" s="13">
        <v>2484</v>
      </c>
      <c r="H784" s="13">
        <v>874.11959999999999</v>
      </c>
    </row>
    <row r="785" spans="1:8" x14ac:dyDescent="0.35">
      <c r="A785" s="11">
        <v>40937</v>
      </c>
      <c r="B785" s="12">
        <v>1810</v>
      </c>
      <c r="C785" s="13" t="s">
        <v>23</v>
      </c>
      <c r="D785" s="13" t="s">
        <v>33</v>
      </c>
      <c r="E785" s="13" t="s">
        <v>29</v>
      </c>
      <c r="F785" s="13">
        <v>6</v>
      </c>
      <c r="G785" s="13">
        <v>6156</v>
      </c>
      <c r="H785" s="13">
        <v>757.39319999999998</v>
      </c>
    </row>
    <row r="786" spans="1:8" x14ac:dyDescent="0.35">
      <c r="A786" s="11">
        <v>40938</v>
      </c>
      <c r="B786" s="12">
        <v>2175</v>
      </c>
      <c r="C786" s="13" t="s">
        <v>27</v>
      </c>
      <c r="D786" s="13" t="s">
        <v>33</v>
      </c>
      <c r="E786" s="13" t="s">
        <v>28</v>
      </c>
      <c r="F786" s="13">
        <v>8</v>
      </c>
      <c r="G786" s="13">
        <v>9936</v>
      </c>
      <c r="H786" s="13">
        <v>910.13760000000002</v>
      </c>
    </row>
    <row r="787" spans="1:8" x14ac:dyDescent="0.35">
      <c r="A787" s="11">
        <v>40939</v>
      </c>
      <c r="B787" s="12">
        <v>1811</v>
      </c>
      <c r="C787" s="13" t="s">
        <v>26</v>
      </c>
      <c r="D787" s="13" t="s">
        <v>33</v>
      </c>
      <c r="E787" s="13" t="s">
        <v>29</v>
      </c>
      <c r="F787" s="13">
        <v>6</v>
      </c>
      <c r="G787" s="13">
        <v>1620</v>
      </c>
      <c r="H787" s="13">
        <v>2450.7359999999999</v>
      </c>
    </row>
    <row r="788" spans="1:8" x14ac:dyDescent="0.35">
      <c r="A788" s="11">
        <v>40940</v>
      </c>
      <c r="B788" s="12">
        <v>2176</v>
      </c>
      <c r="C788" s="13" t="s">
        <v>23</v>
      </c>
      <c r="D788" s="13" t="s">
        <v>33</v>
      </c>
      <c r="E788" s="13" t="s">
        <v>28</v>
      </c>
      <c r="F788" s="13">
        <v>8</v>
      </c>
      <c r="G788" s="13">
        <v>4176</v>
      </c>
      <c r="H788" s="13">
        <v>4690.692</v>
      </c>
    </row>
    <row r="789" spans="1:8" x14ac:dyDescent="0.35">
      <c r="A789" s="11">
        <v>40941</v>
      </c>
      <c r="B789" s="12">
        <v>1812</v>
      </c>
      <c r="C789" s="13" t="s">
        <v>27</v>
      </c>
      <c r="D789" s="13" t="s">
        <v>33</v>
      </c>
      <c r="E789" s="13" t="s">
        <v>25</v>
      </c>
      <c r="F789" s="13">
        <v>6</v>
      </c>
      <c r="G789" s="13">
        <v>5548.5</v>
      </c>
      <c r="H789" s="13">
        <v>2380.3065000000001</v>
      </c>
    </row>
    <row r="790" spans="1:8" x14ac:dyDescent="0.35">
      <c r="A790" s="11">
        <v>40942</v>
      </c>
      <c r="B790" s="12">
        <v>2177</v>
      </c>
      <c r="C790" s="13" t="s">
        <v>26</v>
      </c>
      <c r="D790" s="13" t="s">
        <v>33</v>
      </c>
      <c r="E790" s="13" t="s">
        <v>28</v>
      </c>
      <c r="F790" s="13">
        <v>6</v>
      </c>
      <c r="G790" s="13">
        <v>7641</v>
      </c>
      <c r="H790" s="13">
        <v>1739.6010000000001</v>
      </c>
    </row>
    <row r="791" spans="1:8" x14ac:dyDescent="0.35">
      <c r="A791" s="11">
        <v>40943</v>
      </c>
      <c r="B791" s="12">
        <v>1813</v>
      </c>
      <c r="C791" s="13" t="s">
        <v>23</v>
      </c>
      <c r="D791" s="13" t="s">
        <v>33</v>
      </c>
      <c r="E791" s="13" t="s">
        <v>25</v>
      </c>
      <c r="F791" s="13">
        <v>8</v>
      </c>
      <c r="G791" s="13">
        <v>9696</v>
      </c>
      <c r="H791" s="13">
        <v>3047.4528</v>
      </c>
    </row>
    <row r="792" spans="1:8" x14ac:dyDescent="0.35">
      <c r="A792" s="11">
        <v>40944</v>
      </c>
      <c r="B792" s="12">
        <v>2178</v>
      </c>
      <c r="C792" s="13" t="s">
        <v>27</v>
      </c>
      <c r="D792" s="13" t="s">
        <v>33</v>
      </c>
      <c r="E792" s="13" t="s">
        <v>29</v>
      </c>
      <c r="F792" s="13">
        <v>7</v>
      </c>
      <c r="G792" s="13">
        <v>7087.5</v>
      </c>
      <c r="H792" s="13">
        <v>2957.8500000000004</v>
      </c>
    </row>
    <row r="793" spans="1:8" x14ac:dyDescent="0.35">
      <c r="A793" s="11">
        <v>40945</v>
      </c>
      <c r="B793" s="12">
        <v>1814</v>
      </c>
      <c r="C793" s="13" t="s">
        <v>26</v>
      </c>
      <c r="D793" s="13" t="s">
        <v>33</v>
      </c>
      <c r="E793" s="13" t="s">
        <v>25</v>
      </c>
      <c r="F793" s="13">
        <v>6</v>
      </c>
      <c r="G793" s="13">
        <v>1539</v>
      </c>
      <c r="H793" s="13">
        <v>1813.5575999999999</v>
      </c>
    </row>
    <row r="794" spans="1:8" x14ac:dyDescent="0.35">
      <c r="A794" s="11">
        <v>40946</v>
      </c>
      <c r="B794" s="12">
        <v>2179</v>
      </c>
      <c r="C794" s="13" t="s">
        <v>23</v>
      </c>
      <c r="D794" s="13" t="s">
        <v>33</v>
      </c>
      <c r="E794" s="13" t="s">
        <v>29</v>
      </c>
      <c r="F794" s="13">
        <v>7</v>
      </c>
      <c r="G794" s="13">
        <v>4998</v>
      </c>
      <c r="H794" s="13">
        <v>2040.1835999999998</v>
      </c>
    </row>
    <row r="795" spans="1:8" x14ac:dyDescent="0.35">
      <c r="A795" s="11">
        <v>40947</v>
      </c>
      <c r="B795" s="12">
        <v>1815</v>
      </c>
      <c r="C795" s="13" t="s">
        <v>27</v>
      </c>
      <c r="D795" s="13" t="s">
        <v>33</v>
      </c>
      <c r="E795" s="13" t="s">
        <v>28</v>
      </c>
      <c r="F795" s="13">
        <v>7</v>
      </c>
      <c r="G795" s="13">
        <v>4410</v>
      </c>
      <c r="H795" s="13">
        <v>3461.8500000000004</v>
      </c>
    </row>
    <row r="796" spans="1:8" x14ac:dyDescent="0.35">
      <c r="A796" s="11">
        <v>40948</v>
      </c>
      <c r="B796" s="12">
        <v>2180</v>
      </c>
      <c r="C796" s="13" t="s">
        <v>26</v>
      </c>
      <c r="D796" s="13" t="s">
        <v>33</v>
      </c>
      <c r="E796" s="13" t="s">
        <v>29</v>
      </c>
      <c r="F796" s="13">
        <v>9</v>
      </c>
      <c r="G796" s="13">
        <v>7249.5</v>
      </c>
      <c r="H796" s="13">
        <v>3633.2077500000005</v>
      </c>
    </row>
    <row r="797" spans="1:8" x14ac:dyDescent="0.35">
      <c r="A797" s="11">
        <v>40949</v>
      </c>
      <c r="B797" s="12">
        <v>1816</v>
      </c>
      <c r="C797" s="13" t="s">
        <v>23</v>
      </c>
      <c r="D797" s="13" t="s">
        <v>33</v>
      </c>
      <c r="E797" s="13" t="s">
        <v>28</v>
      </c>
      <c r="F797" s="13">
        <v>10</v>
      </c>
      <c r="G797" s="13">
        <v>1635</v>
      </c>
      <c r="H797" s="13">
        <v>3072.165</v>
      </c>
    </row>
    <row r="798" spans="1:8" x14ac:dyDescent="0.35">
      <c r="A798" s="11">
        <v>40950</v>
      </c>
      <c r="B798" s="12">
        <v>2181</v>
      </c>
      <c r="C798" s="13" t="s">
        <v>27</v>
      </c>
      <c r="D798" s="13" t="s">
        <v>33</v>
      </c>
      <c r="E798" s="13" t="s">
        <v>25</v>
      </c>
      <c r="F798" s="13">
        <v>8</v>
      </c>
      <c r="G798" s="13">
        <v>2376</v>
      </c>
      <c r="H798" s="13">
        <v>1641.3407999999999</v>
      </c>
    </row>
    <row r="799" spans="1:8" x14ac:dyDescent="0.35">
      <c r="A799" s="11">
        <v>40951</v>
      </c>
      <c r="B799" s="12">
        <v>1817</v>
      </c>
      <c r="C799" s="13" t="s">
        <v>26</v>
      </c>
      <c r="D799" s="13" t="s">
        <v>33</v>
      </c>
      <c r="E799" s="13" t="s">
        <v>28</v>
      </c>
      <c r="F799" s="13">
        <v>10</v>
      </c>
      <c r="G799" s="13">
        <v>8175</v>
      </c>
      <c r="H799" s="13">
        <v>1896.2730000000001</v>
      </c>
    </row>
    <row r="800" spans="1:8" x14ac:dyDescent="0.35">
      <c r="A800" s="11">
        <v>40952</v>
      </c>
      <c r="B800" s="12">
        <v>2182</v>
      </c>
      <c r="C800" s="13" t="s">
        <v>23</v>
      </c>
      <c r="D800" s="13" t="s">
        <v>33</v>
      </c>
      <c r="E800" s="13" t="s">
        <v>25</v>
      </c>
      <c r="F800" s="13">
        <v>9</v>
      </c>
      <c r="G800" s="13">
        <v>13140</v>
      </c>
      <c r="H800" s="13">
        <v>4216.3631999999998</v>
      </c>
    </row>
    <row r="801" spans="1:8" x14ac:dyDescent="0.35">
      <c r="A801" s="11">
        <v>40953</v>
      </c>
      <c r="B801" s="12">
        <v>1818</v>
      </c>
      <c r="C801" s="13" t="s">
        <v>27</v>
      </c>
      <c r="D801" s="13" t="s">
        <v>33</v>
      </c>
      <c r="E801" s="13" t="s">
        <v>29</v>
      </c>
      <c r="F801" s="13">
        <v>7</v>
      </c>
      <c r="G801" s="13">
        <v>5811.75</v>
      </c>
      <c r="H801" s="13">
        <v>3467.6774999999998</v>
      </c>
    </row>
    <row r="802" spans="1:8" x14ac:dyDescent="0.35">
      <c r="A802" s="11">
        <v>40954</v>
      </c>
      <c r="B802" s="12">
        <v>2183</v>
      </c>
      <c r="C802" s="13" t="s">
        <v>26</v>
      </c>
      <c r="D802" s="13" t="s">
        <v>33</v>
      </c>
      <c r="E802" s="13" t="s">
        <v>25</v>
      </c>
      <c r="F802" s="13">
        <v>8</v>
      </c>
      <c r="G802" s="13">
        <v>2400</v>
      </c>
      <c r="H802" s="13">
        <v>976.8</v>
      </c>
    </row>
    <row r="803" spans="1:8" x14ac:dyDescent="0.35">
      <c r="A803" s="11">
        <v>40955</v>
      </c>
      <c r="B803" s="12">
        <v>1819</v>
      </c>
      <c r="C803" s="13" t="s">
        <v>23</v>
      </c>
      <c r="D803" s="13" t="s">
        <v>33</v>
      </c>
      <c r="E803" s="13" t="s">
        <v>29</v>
      </c>
      <c r="F803" s="13">
        <v>9</v>
      </c>
      <c r="G803" s="13">
        <v>6237</v>
      </c>
      <c r="H803" s="13">
        <v>919.1259</v>
      </c>
    </row>
    <row r="804" spans="1:8" x14ac:dyDescent="0.35">
      <c r="A804" s="11">
        <v>40956</v>
      </c>
      <c r="B804" s="12">
        <v>2184</v>
      </c>
      <c r="C804" s="13" t="s">
        <v>27</v>
      </c>
      <c r="D804" s="13" t="s">
        <v>33</v>
      </c>
      <c r="E804" s="13" t="s">
        <v>28</v>
      </c>
      <c r="F804" s="13">
        <v>7</v>
      </c>
      <c r="G804" s="13">
        <v>2268</v>
      </c>
      <c r="H804" s="13">
        <v>827.81999999999994</v>
      </c>
    </row>
    <row r="805" spans="1:8" x14ac:dyDescent="0.35">
      <c r="A805" s="11">
        <v>40957</v>
      </c>
      <c r="B805" s="12">
        <v>1820</v>
      </c>
      <c r="C805" s="13" t="s">
        <v>26</v>
      </c>
      <c r="D805" s="13" t="s">
        <v>33</v>
      </c>
      <c r="E805" s="13" t="s">
        <v>29</v>
      </c>
      <c r="F805" s="13">
        <v>10</v>
      </c>
      <c r="G805" s="13">
        <v>8880</v>
      </c>
      <c r="H805" s="13">
        <v>4449.99</v>
      </c>
    </row>
    <row r="806" spans="1:8" x14ac:dyDescent="0.35">
      <c r="A806" s="11">
        <v>40958</v>
      </c>
      <c r="B806" s="12">
        <v>2185</v>
      </c>
      <c r="C806" s="13" t="s">
        <v>23</v>
      </c>
      <c r="D806" s="13" t="s">
        <v>33</v>
      </c>
      <c r="E806" s="13" t="s">
        <v>28</v>
      </c>
      <c r="F806" s="13">
        <v>6</v>
      </c>
      <c r="G806" s="13">
        <v>4770</v>
      </c>
      <c r="H806" s="13">
        <v>976.4190000000001</v>
      </c>
    </row>
    <row r="807" spans="1:8" x14ac:dyDescent="0.35">
      <c r="A807" s="11">
        <v>40959</v>
      </c>
      <c r="B807" s="12">
        <v>2190</v>
      </c>
      <c r="C807" s="13" t="s">
        <v>23</v>
      </c>
      <c r="D807" s="13" t="s">
        <v>33</v>
      </c>
      <c r="E807" s="13" t="s">
        <v>28</v>
      </c>
      <c r="F807" s="13">
        <v>6</v>
      </c>
      <c r="G807" s="13">
        <v>11925</v>
      </c>
      <c r="H807" s="13">
        <v>3905.6760000000004</v>
      </c>
    </row>
    <row r="808" spans="1:8" x14ac:dyDescent="0.35">
      <c r="A808" s="11">
        <v>40960</v>
      </c>
      <c r="B808" s="12">
        <v>1821</v>
      </c>
      <c r="C808" s="13" t="s">
        <v>27</v>
      </c>
      <c r="D808" s="13" t="s">
        <v>33</v>
      </c>
      <c r="E808" s="13" t="s">
        <v>25</v>
      </c>
      <c r="F808" s="13">
        <v>8</v>
      </c>
      <c r="G808" s="13">
        <v>3072</v>
      </c>
      <c r="H808" s="13">
        <v>2750.6687999999999</v>
      </c>
    </row>
    <row r="809" spans="1:8" x14ac:dyDescent="0.35">
      <c r="A809" s="11">
        <v>40961</v>
      </c>
      <c r="B809" s="12">
        <v>2186</v>
      </c>
      <c r="C809" s="13" t="s">
        <v>26</v>
      </c>
      <c r="D809" s="13" t="s">
        <v>33</v>
      </c>
      <c r="E809" s="13" t="s">
        <v>28</v>
      </c>
      <c r="F809" s="13">
        <v>10</v>
      </c>
      <c r="G809" s="13">
        <v>2660</v>
      </c>
      <c r="H809" s="13">
        <v>5040.7</v>
      </c>
    </row>
    <row r="810" spans="1:8" x14ac:dyDescent="0.35">
      <c r="A810" s="11">
        <v>40962</v>
      </c>
      <c r="B810" s="12">
        <v>2191</v>
      </c>
      <c r="C810" s="13" t="s">
        <v>26</v>
      </c>
      <c r="D810" s="13" t="s">
        <v>33</v>
      </c>
      <c r="E810" s="13" t="s">
        <v>28</v>
      </c>
      <c r="F810" s="13">
        <v>10</v>
      </c>
      <c r="G810" s="13">
        <v>2660</v>
      </c>
      <c r="H810" s="13">
        <v>4032.56</v>
      </c>
    </row>
    <row r="811" spans="1:8" x14ac:dyDescent="0.35">
      <c r="A811" s="11">
        <v>40963</v>
      </c>
      <c r="B811" s="12">
        <v>1822</v>
      </c>
      <c r="C811" s="13" t="s">
        <v>23</v>
      </c>
      <c r="D811" s="13" t="s">
        <v>33</v>
      </c>
      <c r="E811" s="13" t="s">
        <v>25</v>
      </c>
      <c r="F811" s="13">
        <v>10</v>
      </c>
      <c r="G811" s="13">
        <v>2475</v>
      </c>
      <c r="H811" s="13">
        <v>1058.8050000000001</v>
      </c>
    </row>
    <row r="812" spans="1:8" x14ac:dyDescent="0.35">
      <c r="A812" s="11">
        <v>40964</v>
      </c>
      <c r="B812" s="12">
        <v>2187</v>
      </c>
      <c r="C812" s="13" t="s">
        <v>27</v>
      </c>
      <c r="D812" s="13" t="s">
        <v>33</v>
      </c>
      <c r="E812" s="13" t="s">
        <v>29</v>
      </c>
      <c r="F812" s="13">
        <v>9</v>
      </c>
      <c r="G812" s="13">
        <v>2097</v>
      </c>
      <c r="H812" s="13">
        <v>867.94830000000002</v>
      </c>
    </row>
    <row r="813" spans="1:8" x14ac:dyDescent="0.35">
      <c r="A813" s="11">
        <v>40965</v>
      </c>
      <c r="B813" s="12">
        <v>2192</v>
      </c>
      <c r="C813" s="13" t="s">
        <v>27</v>
      </c>
      <c r="D813" s="13" t="s">
        <v>33</v>
      </c>
      <c r="E813" s="13" t="s">
        <v>29</v>
      </c>
      <c r="F813" s="13">
        <v>9</v>
      </c>
      <c r="G813" s="13">
        <v>2097</v>
      </c>
      <c r="H813" s="13">
        <v>3471.7932000000001</v>
      </c>
    </row>
    <row r="814" spans="1:8" x14ac:dyDescent="0.35">
      <c r="A814" s="11">
        <v>40966</v>
      </c>
      <c r="B814" s="12">
        <v>1823</v>
      </c>
      <c r="C814" s="13" t="s">
        <v>26</v>
      </c>
      <c r="D814" s="13" t="s">
        <v>33</v>
      </c>
      <c r="E814" s="13" t="s">
        <v>25</v>
      </c>
      <c r="F814" s="13">
        <v>6</v>
      </c>
      <c r="G814" s="13">
        <v>7627.5</v>
      </c>
      <c r="H814" s="13">
        <v>1443.8857499999999</v>
      </c>
    </row>
    <row r="815" spans="1:8" x14ac:dyDescent="0.35">
      <c r="A815" s="11">
        <v>40967</v>
      </c>
      <c r="B815" s="12">
        <v>2188</v>
      </c>
      <c r="C815" s="13" t="s">
        <v>23</v>
      </c>
      <c r="D815" s="13" t="s">
        <v>33</v>
      </c>
      <c r="E815" s="13" t="s">
        <v>29</v>
      </c>
      <c r="F815" s="13">
        <v>7</v>
      </c>
      <c r="G815" s="13">
        <v>3045</v>
      </c>
      <c r="H815" s="13">
        <v>2037.7140000000002</v>
      </c>
    </row>
    <row r="816" spans="1:8" x14ac:dyDescent="0.35">
      <c r="A816" s="11">
        <v>40969</v>
      </c>
      <c r="B816" s="12">
        <v>2193</v>
      </c>
      <c r="C816" s="13" t="s">
        <v>23</v>
      </c>
      <c r="D816" s="13" t="s">
        <v>33</v>
      </c>
      <c r="E816" s="13" t="s">
        <v>29</v>
      </c>
      <c r="F816" s="13">
        <v>7</v>
      </c>
      <c r="G816" s="13">
        <v>1522.5</v>
      </c>
      <c r="H816" s="13">
        <v>509.42850000000004</v>
      </c>
    </row>
    <row r="817" spans="1:8" x14ac:dyDescent="0.35">
      <c r="A817" s="11">
        <v>40970</v>
      </c>
      <c r="B817" s="12">
        <v>1824</v>
      </c>
      <c r="C817" s="13" t="s">
        <v>27</v>
      </c>
      <c r="D817" s="13" t="s">
        <v>33</v>
      </c>
      <c r="E817" s="13" t="s">
        <v>28</v>
      </c>
      <c r="F817" s="13">
        <v>6</v>
      </c>
      <c r="G817" s="13">
        <v>13230</v>
      </c>
      <c r="H817" s="13">
        <v>5757.6959999999999</v>
      </c>
    </row>
    <row r="818" spans="1:8" x14ac:dyDescent="0.35">
      <c r="A818" s="11">
        <v>40971</v>
      </c>
      <c r="B818" s="12">
        <v>2189</v>
      </c>
      <c r="C818" s="13" t="s">
        <v>26</v>
      </c>
      <c r="D818" s="13" t="s">
        <v>33</v>
      </c>
      <c r="E818" s="13" t="s">
        <v>29</v>
      </c>
      <c r="F818" s="13">
        <v>9</v>
      </c>
      <c r="G818" s="13">
        <v>6378.75</v>
      </c>
      <c r="H818" s="13">
        <v>2721.6000000000004</v>
      </c>
    </row>
    <row r="819" spans="1:8" x14ac:dyDescent="0.35">
      <c r="A819" s="11">
        <v>40972</v>
      </c>
      <c r="B819" s="12">
        <v>2194</v>
      </c>
      <c r="C819" s="13" t="s">
        <v>26</v>
      </c>
      <c r="D819" s="13" t="s">
        <v>33</v>
      </c>
      <c r="E819" s="13" t="s">
        <v>29</v>
      </c>
      <c r="F819" s="13">
        <v>9</v>
      </c>
      <c r="G819" s="13">
        <v>4252.5</v>
      </c>
      <c r="H819" s="13">
        <v>3402.0000000000005</v>
      </c>
    </row>
    <row r="820" spans="1:8" x14ac:dyDescent="0.35">
      <c r="A820" s="11">
        <v>40973</v>
      </c>
      <c r="B820" s="12">
        <v>2195</v>
      </c>
      <c r="C820" s="13" t="s">
        <v>23</v>
      </c>
      <c r="D820" s="13" t="s">
        <v>33</v>
      </c>
      <c r="E820" s="13" t="s">
        <v>25</v>
      </c>
      <c r="F820" s="13">
        <v>8</v>
      </c>
      <c r="G820" s="13">
        <v>4776</v>
      </c>
      <c r="H820" s="13">
        <v>2532.4739999999997</v>
      </c>
    </row>
    <row r="821" spans="1:8" x14ac:dyDescent="0.35">
      <c r="A821" s="11">
        <v>41339</v>
      </c>
      <c r="B821" s="12">
        <v>1825</v>
      </c>
      <c r="C821" s="13" t="s">
        <v>23</v>
      </c>
      <c r="D821" s="13" t="s">
        <v>33</v>
      </c>
      <c r="E821" s="13" t="s">
        <v>28</v>
      </c>
      <c r="F821" s="13">
        <v>9</v>
      </c>
      <c r="G821" s="13">
        <v>11295</v>
      </c>
      <c r="H821" s="13">
        <v>3438.1979999999999</v>
      </c>
    </row>
    <row r="822" spans="1:8" x14ac:dyDescent="0.35">
      <c r="A822" s="11">
        <v>41340</v>
      </c>
      <c r="B822" s="12">
        <v>1826</v>
      </c>
      <c r="C822" s="13" t="s">
        <v>26</v>
      </c>
      <c r="D822" s="13" t="s">
        <v>33</v>
      </c>
      <c r="E822" s="13" t="s">
        <v>28</v>
      </c>
      <c r="F822" s="13">
        <v>9</v>
      </c>
      <c r="G822" s="13">
        <v>5697</v>
      </c>
      <c r="H822" s="13">
        <v>4106.3976000000002</v>
      </c>
    </row>
    <row r="823" spans="1:8" x14ac:dyDescent="0.35">
      <c r="A823" s="11">
        <v>41341</v>
      </c>
      <c r="B823" s="12">
        <v>1827</v>
      </c>
      <c r="C823" s="13" t="s">
        <v>27</v>
      </c>
      <c r="D823" s="13" t="s">
        <v>33</v>
      </c>
      <c r="E823" s="13" t="s">
        <v>29</v>
      </c>
      <c r="F823" s="13">
        <v>7</v>
      </c>
      <c r="G823" s="13">
        <v>10001.25</v>
      </c>
      <c r="H823" s="13">
        <v>2616.3270000000002</v>
      </c>
    </row>
    <row r="824" spans="1:8" x14ac:dyDescent="0.35">
      <c r="A824" s="11">
        <v>41342</v>
      </c>
      <c r="B824" s="12">
        <v>1828</v>
      </c>
      <c r="C824" s="13" t="s">
        <v>23</v>
      </c>
      <c r="D824" s="13" t="s">
        <v>33</v>
      </c>
      <c r="E824" s="13" t="s">
        <v>29</v>
      </c>
      <c r="F824" s="13">
        <v>6</v>
      </c>
      <c r="G824" s="13">
        <v>9045</v>
      </c>
      <c r="H824" s="13">
        <v>2658.5064000000002</v>
      </c>
    </row>
    <row r="825" spans="1:8" x14ac:dyDescent="0.35">
      <c r="A825" s="11">
        <v>41343</v>
      </c>
      <c r="B825" s="12">
        <v>1829</v>
      </c>
      <c r="C825" s="13" t="s">
        <v>26</v>
      </c>
      <c r="D825" s="13" t="s">
        <v>33</v>
      </c>
      <c r="E825" s="13" t="s">
        <v>29</v>
      </c>
      <c r="F825" s="13">
        <v>7</v>
      </c>
      <c r="G825" s="13">
        <v>7980</v>
      </c>
      <c r="H825" s="13">
        <v>1240.4112</v>
      </c>
    </row>
    <row r="826" spans="1:8" x14ac:dyDescent="0.35">
      <c r="A826" s="11">
        <v>41344</v>
      </c>
      <c r="B826" s="12">
        <v>1830</v>
      </c>
      <c r="C826" s="13" t="s">
        <v>27</v>
      </c>
      <c r="D826" s="13" t="s">
        <v>33</v>
      </c>
      <c r="E826" s="13" t="s">
        <v>25</v>
      </c>
      <c r="F826" s="13">
        <v>10</v>
      </c>
      <c r="G826" s="13">
        <v>1725</v>
      </c>
      <c r="H826" s="13">
        <v>1082.6100000000001</v>
      </c>
    </row>
    <row r="827" spans="1:8" x14ac:dyDescent="0.35">
      <c r="A827" s="11">
        <v>41345</v>
      </c>
      <c r="B827" s="12">
        <v>1831</v>
      </c>
      <c r="C827" s="13" t="s">
        <v>23</v>
      </c>
      <c r="D827" s="13" t="s">
        <v>33</v>
      </c>
      <c r="E827" s="13" t="s">
        <v>25</v>
      </c>
      <c r="F827" s="13">
        <v>10</v>
      </c>
      <c r="G827" s="13">
        <v>4080</v>
      </c>
      <c r="H827" s="13">
        <v>3821.9399999999996</v>
      </c>
    </row>
    <row r="828" spans="1:8" x14ac:dyDescent="0.35">
      <c r="A828" s="11">
        <v>41346</v>
      </c>
      <c r="B828" s="12">
        <v>1832</v>
      </c>
      <c r="C828" s="13" t="s">
        <v>26</v>
      </c>
      <c r="D828" s="13" t="s">
        <v>33</v>
      </c>
      <c r="E828" s="13" t="s">
        <v>25</v>
      </c>
      <c r="F828" s="13">
        <v>8</v>
      </c>
      <c r="G828" s="13">
        <v>14880</v>
      </c>
      <c r="H828" s="13">
        <v>1169.8656000000001</v>
      </c>
    </row>
    <row r="829" spans="1:8" x14ac:dyDescent="0.35">
      <c r="A829" s="11">
        <v>41347</v>
      </c>
      <c r="B829" s="12">
        <v>1833</v>
      </c>
      <c r="C829" s="13" t="s">
        <v>27</v>
      </c>
      <c r="D829" s="13" t="s">
        <v>33</v>
      </c>
      <c r="E829" s="13" t="s">
        <v>28</v>
      </c>
      <c r="F829" s="13">
        <v>9</v>
      </c>
      <c r="G829" s="13">
        <v>6925.5</v>
      </c>
      <c r="H829" s="13">
        <v>2930.8716000000004</v>
      </c>
    </row>
    <row r="830" spans="1:8" x14ac:dyDescent="0.35">
      <c r="A830" s="11">
        <v>41348</v>
      </c>
      <c r="B830" s="12">
        <v>1834</v>
      </c>
      <c r="C830" s="13" t="s">
        <v>23</v>
      </c>
      <c r="D830" s="13" t="s">
        <v>33</v>
      </c>
      <c r="E830" s="13" t="s">
        <v>28</v>
      </c>
      <c r="F830" s="13">
        <v>9</v>
      </c>
      <c r="G830" s="13">
        <v>6831</v>
      </c>
      <c r="H830" s="13">
        <v>4097.6891999999998</v>
      </c>
    </row>
    <row r="831" spans="1:8" x14ac:dyDescent="0.35">
      <c r="A831" s="11">
        <v>41349</v>
      </c>
      <c r="B831" s="12">
        <v>1835</v>
      </c>
      <c r="C831" s="13" t="s">
        <v>26</v>
      </c>
      <c r="D831" s="13" t="s">
        <v>33</v>
      </c>
      <c r="E831" s="13" t="s">
        <v>28</v>
      </c>
      <c r="F831" s="13">
        <v>9</v>
      </c>
      <c r="G831" s="13">
        <v>1957.5</v>
      </c>
      <c r="H831" s="13">
        <v>1549.9485</v>
      </c>
    </row>
    <row r="832" spans="1:8" x14ac:dyDescent="0.35">
      <c r="A832" s="11">
        <v>41350</v>
      </c>
      <c r="B832" s="12">
        <v>1836</v>
      </c>
      <c r="C832" s="13" t="s">
        <v>27</v>
      </c>
      <c r="D832" s="13" t="s">
        <v>33</v>
      </c>
      <c r="E832" s="13" t="s">
        <v>29</v>
      </c>
      <c r="F832" s="13">
        <v>9</v>
      </c>
      <c r="G832" s="13">
        <v>10260</v>
      </c>
      <c r="H832" s="13">
        <v>3351.942</v>
      </c>
    </row>
    <row r="833" spans="1:8" x14ac:dyDescent="0.35">
      <c r="A833" s="11">
        <v>41351</v>
      </c>
      <c r="B833" s="12">
        <v>1837</v>
      </c>
      <c r="C833" s="13" t="s">
        <v>23</v>
      </c>
      <c r="D833" s="13" t="s">
        <v>33</v>
      </c>
      <c r="E833" s="13" t="s">
        <v>29</v>
      </c>
      <c r="F833" s="13">
        <v>6</v>
      </c>
      <c r="G833" s="13">
        <v>7668</v>
      </c>
      <c r="H833" s="13">
        <v>1401.7103999999999</v>
      </c>
    </row>
    <row r="834" spans="1:8" x14ac:dyDescent="0.35">
      <c r="A834" s="11">
        <v>41352</v>
      </c>
      <c r="B834" s="12">
        <v>1838</v>
      </c>
      <c r="C834" s="13" t="s">
        <v>26</v>
      </c>
      <c r="D834" s="13" t="s">
        <v>33</v>
      </c>
      <c r="E834" s="13" t="s">
        <v>29</v>
      </c>
      <c r="F834" s="13">
        <v>6</v>
      </c>
      <c r="G834" s="13">
        <v>4482</v>
      </c>
      <c r="H834" s="13">
        <v>1760.9778000000001</v>
      </c>
    </row>
    <row r="835" spans="1:8" x14ac:dyDescent="0.35">
      <c r="A835" s="11">
        <v>41353</v>
      </c>
      <c r="B835" s="12">
        <v>1839</v>
      </c>
      <c r="C835" s="13" t="s">
        <v>27</v>
      </c>
      <c r="D835" s="13" t="s">
        <v>33</v>
      </c>
      <c r="E835" s="13" t="s">
        <v>25</v>
      </c>
      <c r="F835" s="13">
        <v>7</v>
      </c>
      <c r="G835" s="13">
        <v>6048</v>
      </c>
      <c r="H835" s="13">
        <v>503.79839999999996</v>
      </c>
    </row>
    <row r="836" spans="1:8" x14ac:dyDescent="0.35">
      <c r="A836" s="11">
        <v>41354</v>
      </c>
      <c r="B836" s="12">
        <v>1840</v>
      </c>
      <c r="C836" s="13" t="s">
        <v>23</v>
      </c>
      <c r="D836" s="13" t="s">
        <v>33</v>
      </c>
      <c r="E836" s="13" t="s">
        <v>25</v>
      </c>
      <c r="F836" s="13">
        <v>6</v>
      </c>
      <c r="G836" s="13">
        <v>1791</v>
      </c>
      <c r="H836" s="13">
        <v>3220.9344000000001</v>
      </c>
    </row>
    <row r="837" spans="1:8" x14ac:dyDescent="0.35">
      <c r="A837" s="11">
        <v>41355</v>
      </c>
      <c r="B837" s="12">
        <v>1841</v>
      </c>
      <c r="C837" s="13" t="s">
        <v>26</v>
      </c>
      <c r="D837" s="13" t="s">
        <v>33</v>
      </c>
      <c r="E837" s="13" t="s">
        <v>25</v>
      </c>
      <c r="F837" s="13">
        <v>8</v>
      </c>
      <c r="G837" s="13">
        <v>2604</v>
      </c>
      <c r="H837" s="13">
        <v>4309.0992000000006</v>
      </c>
    </row>
    <row r="838" spans="1:8" x14ac:dyDescent="0.35">
      <c r="A838" s="11">
        <v>41356</v>
      </c>
      <c r="B838" s="12">
        <v>2196</v>
      </c>
      <c r="C838" s="13" t="s">
        <v>27</v>
      </c>
      <c r="D838" s="13" t="s">
        <v>33</v>
      </c>
      <c r="E838" s="13" t="s">
        <v>29</v>
      </c>
      <c r="F838" s="13">
        <v>6</v>
      </c>
      <c r="G838" s="13">
        <v>8172</v>
      </c>
      <c r="H838" s="13">
        <v>2018.2797</v>
      </c>
    </row>
    <row r="839" spans="1:8" x14ac:dyDescent="0.35">
      <c r="A839" s="11">
        <v>41357</v>
      </c>
      <c r="B839" s="12">
        <v>2562</v>
      </c>
      <c r="C839" s="13" t="s">
        <v>27</v>
      </c>
      <c r="D839" s="13" t="s">
        <v>33</v>
      </c>
      <c r="E839" s="13" t="s">
        <v>28</v>
      </c>
      <c r="F839" s="13">
        <v>6</v>
      </c>
      <c r="G839" s="13">
        <v>7020</v>
      </c>
      <c r="H839" s="13">
        <v>2369.25</v>
      </c>
    </row>
    <row r="840" spans="1:8" x14ac:dyDescent="0.35">
      <c r="A840" s="11">
        <v>41358</v>
      </c>
      <c r="B840" s="12">
        <v>2197</v>
      </c>
      <c r="C840" s="13" t="s">
        <v>23</v>
      </c>
      <c r="D840" s="13" t="s">
        <v>33</v>
      </c>
      <c r="E840" s="13" t="s">
        <v>29</v>
      </c>
      <c r="F840" s="13">
        <v>6</v>
      </c>
      <c r="G840" s="13">
        <v>3978</v>
      </c>
      <c r="H840" s="13">
        <v>735.53219999999999</v>
      </c>
    </row>
    <row r="841" spans="1:8" x14ac:dyDescent="0.35">
      <c r="A841" s="11">
        <v>41359</v>
      </c>
      <c r="B841" s="12">
        <v>2563</v>
      </c>
      <c r="C841" s="13" t="s">
        <v>23</v>
      </c>
      <c r="D841" s="13" t="s">
        <v>33</v>
      </c>
      <c r="E841" s="13" t="s">
        <v>28</v>
      </c>
      <c r="F841" s="13">
        <v>8</v>
      </c>
      <c r="G841" s="13">
        <v>7920</v>
      </c>
      <c r="H841" s="13">
        <v>3519.45</v>
      </c>
    </row>
    <row r="842" spans="1:8" x14ac:dyDescent="0.35">
      <c r="A842" s="11">
        <v>41360</v>
      </c>
      <c r="B842" s="12">
        <v>2198</v>
      </c>
      <c r="C842" s="13" t="s">
        <v>26</v>
      </c>
      <c r="D842" s="13" t="s">
        <v>33</v>
      </c>
      <c r="E842" s="13" t="s">
        <v>29</v>
      </c>
      <c r="F842" s="13">
        <v>9</v>
      </c>
      <c r="G842" s="13">
        <v>11178</v>
      </c>
      <c r="H842" s="13">
        <v>4783.0661999999993</v>
      </c>
    </row>
    <row r="843" spans="1:8" x14ac:dyDescent="0.35">
      <c r="A843" s="11">
        <v>41361</v>
      </c>
      <c r="B843" s="12">
        <v>2564</v>
      </c>
      <c r="C843" s="13" t="s">
        <v>26</v>
      </c>
      <c r="D843" s="13" t="s">
        <v>33</v>
      </c>
      <c r="E843" s="13" t="s">
        <v>28</v>
      </c>
      <c r="F843" s="13">
        <v>6</v>
      </c>
      <c r="G843" s="13">
        <v>3150</v>
      </c>
      <c r="H843" s="13">
        <v>2264.85</v>
      </c>
    </row>
    <row r="844" spans="1:8" x14ac:dyDescent="0.35">
      <c r="A844" s="11">
        <v>41362</v>
      </c>
      <c r="B844" s="12">
        <v>2199</v>
      </c>
      <c r="C844" s="13" t="s">
        <v>27</v>
      </c>
      <c r="D844" s="13" t="s">
        <v>33</v>
      </c>
      <c r="E844" s="13" t="s">
        <v>25</v>
      </c>
      <c r="F844" s="13">
        <v>8</v>
      </c>
      <c r="G844" s="13">
        <v>6096</v>
      </c>
      <c r="H844" s="13">
        <v>1445.9712</v>
      </c>
    </row>
    <row r="845" spans="1:8" x14ac:dyDescent="0.35">
      <c r="A845" s="11">
        <v>41363</v>
      </c>
      <c r="B845" s="12">
        <v>2565</v>
      </c>
      <c r="C845" s="13" t="s">
        <v>27</v>
      </c>
      <c r="D845" s="13" t="s">
        <v>33</v>
      </c>
      <c r="E845" s="13" t="s">
        <v>29</v>
      </c>
      <c r="F845" s="13">
        <v>9</v>
      </c>
      <c r="G845" s="13">
        <v>6135.75</v>
      </c>
      <c r="H845" s="13">
        <v>1783.8670499999998</v>
      </c>
    </row>
    <row r="846" spans="1:8" x14ac:dyDescent="0.35">
      <c r="A846" s="11">
        <v>41364</v>
      </c>
      <c r="B846" s="12">
        <v>2200</v>
      </c>
      <c r="C846" s="13" t="s">
        <v>23</v>
      </c>
      <c r="D846" s="13" t="s">
        <v>33</v>
      </c>
      <c r="E846" s="13" t="s">
        <v>25</v>
      </c>
      <c r="F846" s="13">
        <v>8</v>
      </c>
      <c r="G846" s="13">
        <v>7248</v>
      </c>
      <c r="H846" s="13">
        <v>3665.6759999999995</v>
      </c>
    </row>
    <row r="847" spans="1:8" x14ac:dyDescent="0.35">
      <c r="A847" s="11">
        <v>41365</v>
      </c>
      <c r="B847" s="12">
        <v>2566</v>
      </c>
      <c r="C847" s="13" t="s">
        <v>23</v>
      </c>
      <c r="D847" s="13" t="s">
        <v>33</v>
      </c>
      <c r="E847" s="13" t="s">
        <v>29</v>
      </c>
      <c r="F847" s="13">
        <v>7</v>
      </c>
      <c r="G847" s="13">
        <v>3108</v>
      </c>
      <c r="H847" s="13">
        <v>605.90460000000007</v>
      </c>
    </row>
    <row r="848" spans="1:8" x14ac:dyDescent="0.35">
      <c r="A848" s="11">
        <v>41366</v>
      </c>
      <c r="B848" s="12">
        <v>2201</v>
      </c>
      <c r="C848" s="13" t="s">
        <v>26</v>
      </c>
      <c r="D848" s="13" t="s">
        <v>33</v>
      </c>
      <c r="E848" s="13" t="s">
        <v>25</v>
      </c>
      <c r="F848" s="13">
        <v>6</v>
      </c>
      <c r="G848" s="13">
        <v>1935</v>
      </c>
      <c r="H848" s="13">
        <v>637.77600000000007</v>
      </c>
    </row>
    <row r="849" spans="1:8" x14ac:dyDescent="0.35">
      <c r="A849" s="11">
        <v>41367</v>
      </c>
      <c r="B849" s="12">
        <v>2567</v>
      </c>
      <c r="C849" s="13" t="s">
        <v>26</v>
      </c>
      <c r="D849" s="13" t="s">
        <v>33</v>
      </c>
      <c r="E849" s="13" t="s">
        <v>29</v>
      </c>
      <c r="F849" s="13">
        <v>9</v>
      </c>
      <c r="G849" s="13">
        <v>7411.5</v>
      </c>
      <c r="H849" s="13">
        <v>4191.9444000000003</v>
      </c>
    </row>
    <row r="850" spans="1:8" x14ac:dyDescent="0.35">
      <c r="A850" s="11">
        <v>41368</v>
      </c>
      <c r="B850" s="12">
        <v>2202</v>
      </c>
      <c r="C850" s="13" t="s">
        <v>27</v>
      </c>
      <c r="D850" s="13" t="s">
        <v>33</v>
      </c>
      <c r="E850" s="13" t="s">
        <v>28</v>
      </c>
      <c r="F850" s="13">
        <v>7</v>
      </c>
      <c r="G850" s="13">
        <v>8568</v>
      </c>
      <c r="H850" s="13">
        <v>5873.3639999999996</v>
      </c>
    </row>
    <row r="851" spans="1:8" x14ac:dyDescent="0.35">
      <c r="A851" s="11">
        <v>41369</v>
      </c>
      <c r="B851" s="12">
        <v>2568</v>
      </c>
      <c r="C851" s="13" t="s">
        <v>27</v>
      </c>
      <c r="D851" s="13" t="s">
        <v>33</v>
      </c>
      <c r="E851" s="13" t="s">
        <v>25</v>
      </c>
      <c r="F851" s="13">
        <v>10</v>
      </c>
      <c r="G851" s="13">
        <v>8880</v>
      </c>
      <c r="H851" s="13">
        <v>4962.8100000000004</v>
      </c>
    </row>
    <row r="852" spans="1:8" x14ac:dyDescent="0.35">
      <c r="A852" s="11">
        <v>41370</v>
      </c>
      <c r="B852" s="12">
        <v>2203</v>
      </c>
      <c r="C852" s="13" t="s">
        <v>23</v>
      </c>
      <c r="D852" s="13" t="s">
        <v>33</v>
      </c>
      <c r="E852" s="13" t="s">
        <v>28</v>
      </c>
      <c r="F852" s="13">
        <v>10</v>
      </c>
      <c r="G852" s="13">
        <v>6255</v>
      </c>
      <c r="H852" s="13">
        <v>3148.35</v>
      </c>
    </row>
    <row r="853" spans="1:8" x14ac:dyDescent="0.35">
      <c r="A853" s="11">
        <v>41371</v>
      </c>
      <c r="B853" s="12">
        <v>2569</v>
      </c>
      <c r="C853" s="13" t="s">
        <v>23</v>
      </c>
      <c r="D853" s="13" t="s">
        <v>33</v>
      </c>
      <c r="E853" s="13" t="s">
        <v>25</v>
      </c>
      <c r="F853" s="13">
        <v>6</v>
      </c>
      <c r="G853" s="13">
        <v>7992</v>
      </c>
      <c r="H853" s="13">
        <v>3956.5727999999999</v>
      </c>
    </row>
    <row r="854" spans="1:8" x14ac:dyDescent="0.35">
      <c r="A854" s="11">
        <v>41372</v>
      </c>
      <c r="B854" s="12">
        <v>2204</v>
      </c>
      <c r="C854" s="13" t="s">
        <v>26</v>
      </c>
      <c r="D854" s="13" t="s">
        <v>33</v>
      </c>
      <c r="E854" s="13" t="s">
        <v>28</v>
      </c>
      <c r="F854" s="13">
        <v>10</v>
      </c>
      <c r="G854" s="13">
        <v>6660</v>
      </c>
      <c r="H854" s="13">
        <v>1922.9639999999999</v>
      </c>
    </row>
    <row r="855" spans="1:8" x14ac:dyDescent="0.35">
      <c r="A855" s="11">
        <v>41373</v>
      </c>
      <c r="B855" s="12">
        <v>2570</v>
      </c>
      <c r="C855" s="13" t="s">
        <v>26</v>
      </c>
      <c r="D855" s="13" t="s">
        <v>33</v>
      </c>
      <c r="E855" s="13" t="s">
        <v>25</v>
      </c>
      <c r="F855" s="13">
        <v>7</v>
      </c>
      <c r="G855" s="13">
        <v>5607</v>
      </c>
      <c r="H855" s="13">
        <v>591.35159999999996</v>
      </c>
    </row>
    <row r="856" spans="1:8" x14ac:dyDescent="0.35">
      <c r="A856" s="11">
        <v>41374</v>
      </c>
      <c r="B856" s="12">
        <v>2205</v>
      </c>
      <c r="C856" s="13" t="s">
        <v>27</v>
      </c>
      <c r="D856" s="13" t="s">
        <v>33</v>
      </c>
      <c r="E856" s="13" t="s">
        <v>29</v>
      </c>
      <c r="F856" s="13">
        <v>9</v>
      </c>
      <c r="G856" s="13">
        <v>13410</v>
      </c>
      <c r="H856" s="13">
        <v>2911.0428000000002</v>
      </c>
    </row>
    <row r="857" spans="1:8" x14ac:dyDescent="0.35">
      <c r="A857" s="11">
        <v>41375</v>
      </c>
      <c r="B857" s="12">
        <v>2571</v>
      </c>
      <c r="C857" s="13" t="s">
        <v>27</v>
      </c>
      <c r="D857" s="13" t="s">
        <v>33</v>
      </c>
      <c r="E857" s="13" t="s">
        <v>28</v>
      </c>
      <c r="F857" s="13">
        <v>10</v>
      </c>
      <c r="G857" s="13">
        <v>4770</v>
      </c>
      <c r="H857" s="13">
        <v>2509.9740000000002</v>
      </c>
    </row>
    <row r="858" spans="1:8" x14ac:dyDescent="0.35">
      <c r="A858" s="11">
        <v>41376</v>
      </c>
      <c r="B858" s="12">
        <v>2206</v>
      </c>
      <c r="C858" s="13" t="s">
        <v>23</v>
      </c>
      <c r="D858" s="13" t="s">
        <v>33</v>
      </c>
      <c r="E858" s="13" t="s">
        <v>29</v>
      </c>
      <c r="F858" s="13">
        <v>6</v>
      </c>
      <c r="G858" s="13">
        <v>2673</v>
      </c>
      <c r="H858" s="13">
        <v>2986.2755999999999</v>
      </c>
    </row>
    <row r="859" spans="1:8" x14ac:dyDescent="0.35">
      <c r="A859" s="11">
        <v>41377</v>
      </c>
      <c r="B859" s="12">
        <v>2572</v>
      </c>
      <c r="C859" s="13" t="s">
        <v>23</v>
      </c>
      <c r="D859" s="13" t="s">
        <v>33</v>
      </c>
      <c r="E859" s="13" t="s">
        <v>28</v>
      </c>
      <c r="F859" s="13">
        <v>9</v>
      </c>
      <c r="G859" s="13">
        <v>6378.75</v>
      </c>
      <c r="H859" s="13">
        <v>702.08774999999991</v>
      </c>
    </row>
    <row r="860" spans="1:8" x14ac:dyDescent="0.35">
      <c r="A860" s="11">
        <v>41378</v>
      </c>
      <c r="B860" s="12">
        <v>2207</v>
      </c>
      <c r="C860" s="13" t="s">
        <v>26</v>
      </c>
      <c r="D860" s="13" t="s">
        <v>33</v>
      </c>
      <c r="E860" s="13" t="s">
        <v>29</v>
      </c>
      <c r="F860" s="13">
        <v>7</v>
      </c>
      <c r="G860" s="13">
        <v>4882.5</v>
      </c>
      <c r="H860" s="13">
        <v>687.94425000000001</v>
      </c>
    </row>
    <row r="861" spans="1:8" x14ac:dyDescent="0.35">
      <c r="A861" s="11">
        <v>41379</v>
      </c>
      <c r="B861" s="12">
        <v>2573</v>
      </c>
      <c r="C861" s="13" t="s">
        <v>26</v>
      </c>
      <c r="D861" s="13" t="s">
        <v>33</v>
      </c>
      <c r="E861" s="13" t="s">
        <v>28</v>
      </c>
      <c r="F861" s="13">
        <v>6</v>
      </c>
      <c r="G861" s="13">
        <v>4401</v>
      </c>
      <c r="H861" s="13">
        <v>2591.7489000000005</v>
      </c>
    </row>
    <row r="862" spans="1:8" x14ac:dyDescent="0.35">
      <c r="A862" s="11">
        <v>41380</v>
      </c>
      <c r="B862" s="12">
        <v>2208</v>
      </c>
      <c r="C862" s="13" t="s">
        <v>27</v>
      </c>
      <c r="D862" s="13" t="s">
        <v>33</v>
      </c>
      <c r="E862" s="13" t="s">
        <v>25</v>
      </c>
      <c r="F862" s="13">
        <v>6</v>
      </c>
      <c r="G862" s="13">
        <v>9720</v>
      </c>
      <c r="H862" s="13">
        <v>3403.5551999999998</v>
      </c>
    </row>
    <row r="863" spans="1:8" x14ac:dyDescent="0.35">
      <c r="A863" s="11">
        <v>41381</v>
      </c>
      <c r="B863" s="12">
        <v>2574</v>
      </c>
      <c r="C863" s="13" t="s">
        <v>27</v>
      </c>
      <c r="D863" s="13" t="s">
        <v>33</v>
      </c>
      <c r="E863" s="13" t="s">
        <v>29</v>
      </c>
      <c r="F863" s="13">
        <v>7</v>
      </c>
      <c r="G863" s="13">
        <v>3990</v>
      </c>
      <c r="H863" s="13">
        <v>1372.9590000000001</v>
      </c>
    </row>
    <row r="864" spans="1:8" x14ac:dyDescent="0.35">
      <c r="A864" s="11">
        <v>41382</v>
      </c>
      <c r="B864" s="12">
        <v>2209</v>
      </c>
      <c r="C864" s="13" t="s">
        <v>23</v>
      </c>
      <c r="D864" s="13" t="s">
        <v>33</v>
      </c>
      <c r="E864" s="13" t="s">
        <v>25</v>
      </c>
      <c r="F864" s="13">
        <v>9</v>
      </c>
      <c r="G864" s="13">
        <v>2349</v>
      </c>
      <c r="H864" s="13">
        <v>3937.8635999999997</v>
      </c>
    </row>
    <row r="865" spans="1:8" x14ac:dyDescent="0.35">
      <c r="A865" s="11">
        <v>41383</v>
      </c>
      <c r="B865" s="12">
        <v>2575</v>
      </c>
      <c r="C865" s="13" t="s">
        <v>23</v>
      </c>
      <c r="D865" s="13" t="s">
        <v>33</v>
      </c>
      <c r="E865" s="13" t="s">
        <v>29</v>
      </c>
      <c r="F865" s="13">
        <v>7</v>
      </c>
      <c r="G865" s="13">
        <v>9292.5</v>
      </c>
      <c r="H865" s="13">
        <v>737.63864999999987</v>
      </c>
    </row>
    <row r="866" spans="1:8" x14ac:dyDescent="0.35">
      <c r="A866" s="11">
        <v>41384</v>
      </c>
      <c r="B866" s="12">
        <v>2210</v>
      </c>
      <c r="C866" s="13" t="s">
        <v>26</v>
      </c>
      <c r="D866" s="13" t="s">
        <v>33</v>
      </c>
      <c r="E866" s="13" t="s">
        <v>25</v>
      </c>
      <c r="F866" s="13">
        <v>9</v>
      </c>
      <c r="G866" s="13">
        <v>13702.5</v>
      </c>
      <c r="H866" s="13">
        <v>919.98585000000003</v>
      </c>
    </row>
    <row r="867" spans="1:8" x14ac:dyDescent="0.35">
      <c r="A867" s="11">
        <v>41385</v>
      </c>
      <c r="B867" s="12">
        <v>2576</v>
      </c>
      <c r="C867" s="13" t="s">
        <v>26</v>
      </c>
      <c r="D867" s="13" t="s">
        <v>33</v>
      </c>
      <c r="E867" s="13" t="s">
        <v>29</v>
      </c>
      <c r="F867" s="13">
        <v>7</v>
      </c>
      <c r="G867" s="13">
        <v>6762</v>
      </c>
      <c r="H867" s="13">
        <v>1316.8995</v>
      </c>
    </row>
    <row r="868" spans="1:8" x14ac:dyDescent="0.35">
      <c r="A868" s="11">
        <v>41386</v>
      </c>
      <c r="B868" s="12">
        <v>2211</v>
      </c>
      <c r="C868" s="13" t="s">
        <v>27</v>
      </c>
      <c r="D868" s="13" t="s">
        <v>33</v>
      </c>
      <c r="E868" s="13" t="s">
        <v>28</v>
      </c>
      <c r="F868" s="13">
        <v>10</v>
      </c>
      <c r="G868" s="13">
        <v>5400</v>
      </c>
      <c r="H868" s="13">
        <v>2108.7000000000003</v>
      </c>
    </row>
    <row r="869" spans="1:8" x14ac:dyDescent="0.35">
      <c r="A869" s="11">
        <v>41387</v>
      </c>
      <c r="B869" s="12">
        <v>2577</v>
      </c>
      <c r="C869" s="13" t="s">
        <v>27</v>
      </c>
      <c r="D869" s="13" t="s">
        <v>33</v>
      </c>
      <c r="E869" s="13" t="s">
        <v>25</v>
      </c>
      <c r="F869" s="13">
        <v>6</v>
      </c>
      <c r="G869" s="13">
        <v>9432</v>
      </c>
      <c r="H869" s="13">
        <v>3295.5407999999998</v>
      </c>
    </row>
    <row r="870" spans="1:8" x14ac:dyDescent="0.35">
      <c r="A870" s="11">
        <v>41388</v>
      </c>
      <c r="B870" s="12">
        <v>2212</v>
      </c>
      <c r="C870" s="13" t="s">
        <v>23</v>
      </c>
      <c r="D870" s="13" t="s">
        <v>33</v>
      </c>
      <c r="E870" s="13" t="s">
        <v>28</v>
      </c>
      <c r="F870" s="13">
        <v>9</v>
      </c>
      <c r="G870" s="13">
        <v>2610</v>
      </c>
      <c r="H870" s="13">
        <v>3854.4479999999999</v>
      </c>
    </row>
    <row r="871" spans="1:8" x14ac:dyDescent="0.35">
      <c r="A871" s="11">
        <v>41389</v>
      </c>
      <c r="B871" s="12">
        <v>2578</v>
      </c>
      <c r="C871" s="13" t="s">
        <v>23</v>
      </c>
      <c r="D871" s="13" t="s">
        <v>33</v>
      </c>
      <c r="E871" s="13" t="s">
        <v>25</v>
      </c>
      <c r="F871" s="13">
        <v>9</v>
      </c>
      <c r="G871" s="13">
        <v>5220</v>
      </c>
      <c r="H871" s="13">
        <v>1099.0709999999999</v>
      </c>
    </row>
    <row r="872" spans="1:8" x14ac:dyDescent="0.35">
      <c r="A872" s="11">
        <v>41390</v>
      </c>
      <c r="B872" s="12">
        <v>2213</v>
      </c>
      <c r="C872" s="13" t="s">
        <v>26</v>
      </c>
      <c r="D872" s="13" t="s">
        <v>33</v>
      </c>
      <c r="E872" s="13" t="s">
        <v>28</v>
      </c>
      <c r="F872" s="13">
        <v>8</v>
      </c>
      <c r="G872" s="13">
        <v>8388</v>
      </c>
      <c r="H872" s="13">
        <v>1038.4344000000001</v>
      </c>
    </row>
    <row r="873" spans="1:8" x14ac:dyDescent="0.35">
      <c r="A873" s="11">
        <v>41391</v>
      </c>
      <c r="B873" s="12">
        <v>2579</v>
      </c>
      <c r="C873" s="13" t="s">
        <v>26</v>
      </c>
      <c r="D873" s="13" t="s">
        <v>33</v>
      </c>
      <c r="E873" s="13" t="s">
        <v>25</v>
      </c>
      <c r="F873" s="13">
        <v>7</v>
      </c>
      <c r="G873" s="13">
        <v>11550</v>
      </c>
      <c r="H873" s="13">
        <v>1974.5880000000002</v>
      </c>
    </row>
    <row r="874" spans="1:8" x14ac:dyDescent="0.35">
      <c r="A874" s="11">
        <v>41392</v>
      </c>
      <c r="B874" s="12">
        <v>2214</v>
      </c>
      <c r="C874" s="13" t="s">
        <v>27</v>
      </c>
      <c r="D874" s="13" t="s">
        <v>33</v>
      </c>
      <c r="E874" s="13" t="s">
        <v>29</v>
      </c>
      <c r="F874" s="13">
        <v>6</v>
      </c>
      <c r="G874" s="13">
        <v>5967</v>
      </c>
      <c r="H874" s="13">
        <v>3592.1340000000005</v>
      </c>
    </row>
    <row r="875" spans="1:8" x14ac:dyDescent="0.35">
      <c r="A875" s="11">
        <v>41393</v>
      </c>
      <c r="B875" s="12">
        <v>2580</v>
      </c>
      <c r="C875" s="13" t="s">
        <v>27</v>
      </c>
      <c r="D875" s="13" t="s">
        <v>33</v>
      </c>
      <c r="E875" s="13" t="s">
        <v>28</v>
      </c>
      <c r="F875" s="13">
        <v>8</v>
      </c>
      <c r="G875" s="13">
        <v>7308</v>
      </c>
      <c r="H875" s="13">
        <v>2817.2339999999999</v>
      </c>
    </row>
    <row r="876" spans="1:8" x14ac:dyDescent="0.35">
      <c r="A876" s="11">
        <v>41394</v>
      </c>
      <c r="B876" s="12">
        <v>2215</v>
      </c>
      <c r="C876" s="13" t="s">
        <v>23</v>
      </c>
      <c r="D876" s="13" t="s">
        <v>33</v>
      </c>
      <c r="E876" s="13" t="s">
        <v>29</v>
      </c>
      <c r="F876" s="13">
        <v>9</v>
      </c>
      <c r="G876" s="13">
        <v>5481</v>
      </c>
      <c r="H876" s="13">
        <v>1679.9265</v>
      </c>
    </row>
    <row r="877" spans="1:8" x14ac:dyDescent="0.35">
      <c r="A877" s="11">
        <v>41395</v>
      </c>
      <c r="B877" s="12">
        <v>2581</v>
      </c>
      <c r="C877" s="13" t="s">
        <v>23</v>
      </c>
      <c r="D877" s="13" t="s">
        <v>33</v>
      </c>
      <c r="E877" s="13" t="s">
        <v>28</v>
      </c>
      <c r="F877" s="13">
        <v>8</v>
      </c>
      <c r="G877" s="13">
        <v>3024</v>
      </c>
      <c r="H877" s="13">
        <v>1639.3103999999998</v>
      </c>
    </row>
    <row r="878" spans="1:8" x14ac:dyDescent="0.35">
      <c r="A878" s="11">
        <v>41396</v>
      </c>
      <c r="B878" s="12">
        <v>2216</v>
      </c>
      <c r="C878" s="13" t="s">
        <v>26</v>
      </c>
      <c r="D878" s="13" t="s">
        <v>33</v>
      </c>
      <c r="E878" s="13" t="s">
        <v>29</v>
      </c>
      <c r="F878" s="13">
        <v>7</v>
      </c>
      <c r="G878" s="13">
        <v>4074</v>
      </c>
      <c r="H878" s="13">
        <v>3602.2308000000003</v>
      </c>
    </row>
    <row r="879" spans="1:8" x14ac:dyDescent="0.35">
      <c r="A879" s="11">
        <v>41397</v>
      </c>
      <c r="B879" s="12">
        <v>2582</v>
      </c>
      <c r="C879" s="13" t="s">
        <v>26</v>
      </c>
      <c r="D879" s="13" t="s">
        <v>33</v>
      </c>
      <c r="E879" s="13" t="s">
        <v>28</v>
      </c>
      <c r="F879" s="13">
        <v>7</v>
      </c>
      <c r="G879" s="13">
        <v>7182</v>
      </c>
      <c r="H879" s="13">
        <v>3080.5991999999997</v>
      </c>
    </row>
    <row r="880" spans="1:8" x14ac:dyDescent="0.35">
      <c r="A880" s="11">
        <v>41398</v>
      </c>
      <c r="B880" s="12">
        <v>2217</v>
      </c>
      <c r="C880" s="13" t="s">
        <v>27</v>
      </c>
      <c r="D880" s="13" t="s">
        <v>33</v>
      </c>
      <c r="E880" s="13" t="s">
        <v>25</v>
      </c>
      <c r="F880" s="13">
        <v>9</v>
      </c>
      <c r="G880" s="13">
        <v>12555</v>
      </c>
      <c r="H880" s="13">
        <v>2253.3714</v>
      </c>
    </row>
    <row r="881" spans="1:8" x14ac:dyDescent="0.35">
      <c r="A881" s="11">
        <v>41399</v>
      </c>
      <c r="B881" s="12">
        <v>2583</v>
      </c>
      <c r="C881" s="13" t="s">
        <v>27</v>
      </c>
      <c r="D881" s="13" t="s">
        <v>33</v>
      </c>
      <c r="E881" s="13" t="s">
        <v>29</v>
      </c>
      <c r="F881" s="13">
        <v>7</v>
      </c>
      <c r="G881" s="13">
        <v>5229</v>
      </c>
      <c r="H881" s="13">
        <v>1091.8152</v>
      </c>
    </row>
    <row r="882" spans="1:8" x14ac:dyDescent="0.35">
      <c r="A882" s="11">
        <v>41400</v>
      </c>
      <c r="B882" s="12">
        <v>2218</v>
      </c>
      <c r="C882" s="13" t="s">
        <v>23</v>
      </c>
      <c r="D882" s="13" t="s">
        <v>33</v>
      </c>
      <c r="E882" s="13" t="s">
        <v>25</v>
      </c>
      <c r="F882" s="13">
        <v>6</v>
      </c>
      <c r="G882" s="13">
        <v>8437.5</v>
      </c>
      <c r="H882" s="13">
        <v>2847.6562500000005</v>
      </c>
    </row>
    <row r="883" spans="1:8" x14ac:dyDescent="0.35">
      <c r="A883" s="11">
        <v>41401</v>
      </c>
      <c r="B883" s="12">
        <v>2584</v>
      </c>
      <c r="C883" s="13" t="s">
        <v>23</v>
      </c>
      <c r="D883" s="13" t="s">
        <v>33</v>
      </c>
      <c r="E883" s="13" t="s">
        <v>29</v>
      </c>
      <c r="F883" s="13">
        <v>8</v>
      </c>
      <c r="G883" s="13">
        <v>10260</v>
      </c>
      <c r="H883" s="13">
        <v>649.0476000000001</v>
      </c>
    </row>
    <row r="884" spans="1:8" x14ac:dyDescent="0.35">
      <c r="A884" s="11">
        <v>41767</v>
      </c>
      <c r="B884" s="12">
        <v>2219</v>
      </c>
      <c r="C884" s="13" t="s">
        <v>26</v>
      </c>
      <c r="D884" s="13" t="s">
        <v>33</v>
      </c>
      <c r="E884" s="13" t="s">
        <v>25</v>
      </c>
      <c r="F884" s="13">
        <v>10</v>
      </c>
      <c r="G884" s="13">
        <v>1755</v>
      </c>
      <c r="H884" s="13">
        <v>682.69499999999994</v>
      </c>
    </row>
    <row r="885" spans="1:8" x14ac:dyDescent="0.35">
      <c r="A885" s="11">
        <v>41768</v>
      </c>
      <c r="B885" s="12">
        <v>2585</v>
      </c>
      <c r="C885" s="13" t="s">
        <v>26</v>
      </c>
      <c r="D885" s="13" t="s">
        <v>33</v>
      </c>
      <c r="E885" s="13" t="s">
        <v>29</v>
      </c>
      <c r="F885" s="13">
        <v>8</v>
      </c>
      <c r="G885" s="13">
        <v>2248</v>
      </c>
      <c r="H885" s="13">
        <v>2456.8392000000003</v>
      </c>
    </row>
    <row r="886" spans="1:8" x14ac:dyDescent="0.35">
      <c r="A886" s="11">
        <v>41769</v>
      </c>
      <c r="B886" s="12">
        <v>2220</v>
      </c>
      <c r="C886" s="13" t="s">
        <v>27</v>
      </c>
      <c r="D886" s="13" t="s">
        <v>33</v>
      </c>
      <c r="E886" s="13" t="s">
        <v>28</v>
      </c>
      <c r="F886" s="13">
        <v>9</v>
      </c>
      <c r="G886" s="13">
        <v>2929.5</v>
      </c>
      <c r="H886" s="13">
        <v>2312.5473000000002</v>
      </c>
    </row>
    <row r="887" spans="1:8" x14ac:dyDescent="0.35">
      <c r="A887" s="11">
        <v>41770</v>
      </c>
      <c r="B887" s="12">
        <v>2586</v>
      </c>
      <c r="C887" s="13" t="s">
        <v>27</v>
      </c>
      <c r="D887" s="13" t="s">
        <v>33</v>
      </c>
      <c r="E887" s="13" t="s">
        <v>25</v>
      </c>
      <c r="F887" s="13">
        <v>10</v>
      </c>
      <c r="G887" s="13">
        <v>2910</v>
      </c>
      <c r="H887" s="13">
        <v>1042.653</v>
      </c>
    </row>
    <row r="888" spans="1:8" x14ac:dyDescent="0.35">
      <c r="A888" s="11">
        <v>41771</v>
      </c>
      <c r="B888" s="12">
        <v>2221</v>
      </c>
      <c r="C888" s="13" t="s">
        <v>23</v>
      </c>
      <c r="D888" s="13" t="s">
        <v>33</v>
      </c>
      <c r="E888" s="13" t="s">
        <v>28</v>
      </c>
      <c r="F888" s="13">
        <v>7</v>
      </c>
      <c r="G888" s="13">
        <v>10395</v>
      </c>
      <c r="H888" s="13">
        <v>861.9534000000001</v>
      </c>
    </row>
    <row r="889" spans="1:8" x14ac:dyDescent="0.35">
      <c r="A889" s="11">
        <v>41772</v>
      </c>
      <c r="B889" s="12">
        <v>2587</v>
      </c>
      <c r="C889" s="13" t="s">
        <v>23</v>
      </c>
      <c r="D889" s="13" t="s">
        <v>33</v>
      </c>
      <c r="E889" s="13" t="s">
        <v>25</v>
      </c>
      <c r="F889" s="13">
        <v>8</v>
      </c>
      <c r="G889" s="13">
        <v>10440</v>
      </c>
      <c r="H889" s="13">
        <v>2196.1584000000003</v>
      </c>
    </row>
    <row r="890" spans="1:8" x14ac:dyDescent="0.35">
      <c r="A890" s="11">
        <v>41773</v>
      </c>
      <c r="B890" s="12">
        <v>2222</v>
      </c>
      <c r="C890" s="13" t="s">
        <v>26</v>
      </c>
      <c r="D890" s="13" t="s">
        <v>33</v>
      </c>
      <c r="E890" s="13" t="s">
        <v>28</v>
      </c>
      <c r="F890" s="13">
        <v>6</v>
      </c>
      <c r="G890" s="13">
        <v>4374</v>
      </c>
      <c r="H890" s="13">
        <v>2795.8608000000004</v>
      </c>
    </row>
    <row r="891" spans="1:8" x14ac:dyDescent="0.35">
      <c r="A891" s="11">
        <v>41774</v>
      </c>
      <c r="B891" s="12">
        <v>2588</v>
      </c>
      <c r="C891" s="13" t="s">
        <v>26</v>
      </c>
      <c r="D891" s="13" t="s">
        <v>33</v>
      </c>
      <c r="E891" s="13" t="s">
        <v>25</v>
      </c>
      <c r="F891" s="13">
        <v>8</v>
      </c>
      <c r="G891" s="13">
        <v>2124</v>
      </c>
      <c r="H891" s="13">
        <v>2627.1755999999996</v>
      </c>
    </row>
    <row r="892" spans="1:8" x14ac:dyDescent="0.35">
      <c r="A892" s="11">
        <v>41775</v>
      </c>
      <c r="B892" s="12">
        <v>2223</v>
      </c>
      <c r="C892" s="13" t="s">
        <v>27</v>
      </c>
      <c r="D892" s="13" t="s">
        <v>33</v>
      </c>
      <c r="E892" s="13" t="s">
        <v>29</v>
      </c>
      <c r="F892" s="13">
        <v>7</v>
      </c>
      <c r="G892" s="13">
        <v>4515</v>
      </c>
      <c r="H892" s="13">
        <v>3930.3074999999999</v>
      </c>
    </row>
    <row r="893" spans="1:8" x14ac:dyDescent="0.35">
      <c r="A893" s="11">
        <v>41776</v>
      </c>
      <c r="B893" s="12">
        <v>2589</v>
      </c>
      <c r="C893" s="13" t="s">
        <v>27</v>
      </c>
      <c r="D893" s="13" t="s">
        <v>33</v>
      </c>
      <c r="E893" s="13" t="s">
        <v>28</v>
      </c>
      <c r="F893" s="13">
        <v>9</v>
      </c>
      <c r="G893" s="13">
        <v>1714.5</v>
      </c>
      <c r="H893" s="13">
        <v>3669.03</v>
      </c>
    </row>
    <row r="894" spans="1:8" x14ac:dyDescent="0.35">
      <c r="A894" s="11">
        <v>41777</v>
      </c>
      <c r="B894" s="12">
        <v>2224</v>
      </c>
      <c r="C894" s="13" t="s">
        <v>23</v>
      </c>
      <c r="D894" s="13" t="s">
        <v>33</v>
      </c>
      <c r="E894" s="13" t="s">
        <v>29</v>
      </c>
      <c r="F894" s="13">
        <v>9</v>
      </c>
      <c r="G894" s="13">
        <v>2439</v>
      </c>
      <c r="H894" s="13">
        <v>5413.3604999999998</v>
      </c>
    </row>
    <row r="895" spans="1:8" x14ac:dyDescent="0.35">
      <c r="A895" s="11">
        <v>41778</v>
      </c>
      <c r="B895" s="12">
        <v>2590</v>
      </c>
      <c r="C895" s="13" t="s">
        <v>23</v>
      </c>
      <c r="D895" s="13" t="s">
        <v>33</v>
      </c>
      <c r="E895" s="13" t="s">
        <v>28</v>
      </c>
      <c r="F895" s="13">
        <v>10</v>
      </c>
      <c r="G895" s="13">
        <v>5280</v>
      </c>
      <c r="H895" s="13">
        <v>1017.9839999999999</v>
      </c>
    </row>
    <row r="896" spans="1:8" x14ac:dyDescent="0.35">
      <c r="A896" s="11">
        <v>41779</v>
      </c>
      <c r="B896" s="12">
        <v>2225</v>
      </c>
      <c r="C896" s="13" t="s">
        <v>26</v>
      </c>
      <c r="D896" s="13" t="s">
        <v>33</v>
      </c>
      <c r="E896" s="13" t="s">
        <v>29</v>
      </c>
      <c r="F896" s="13">
        <v>9</v>
      </c>
      <c r="G896" s="13">
        <v>11475</v>
      </c>
      <c r="H896" s="13">
        <v>1964.0609999999999</v>
      </c>
    </row>
    <row r="897" spans="1:8" x14ac:dyDescent="0.35">
      <c r="A897" s="11">
        <v>41780</v>
      </c>
      <c r="B897" s="12">
        <v>2591</v>
      </c>
      <c r="C897" s="13" t="s">
        <v>26</v>
      </c>
      <c r="D897" s="13" t="s">
        <v>33</v>
      </c>
      <c r="E897" s="13" t="s">
        <v>28</v>
      </c>
      <c r="F897" s="13">
        <v>9</v>
      </c>
      <c r="G897" s="13">
        <v>2146.5</v>
      </c>
      <c r="H897" s="13">
        <v>2891.9794499999998</v>
      </c>
    </row>
    <row r="898" spans="1:8" x14ac:dyDescent="0.35">
      <c r="A898" s="11">
        <v>41781</v>
      </c>
      <c r="B898" s="12">
        <v>2226</v>
      </c>
      <c r="C898" s="13" t="s">
        <v>27</v>
      </c>
      <c r="D898" s="13" t="s">
        <v>33</v>
      </c>
      <c r="E898" s="13" t="s">
        <v>25</v>
      </c>
      <c r="F898" s="13">
        <v>7</v>
      </c>
      <c r="G898" s="13">
        <v>3507</v>
      </c>
      <c r="H898" s="13">
        <v>1728.6003000000001</v>
      </c>
    </row>
    <row r="899" spans="1:8" x14ac:dyDescent="0.35">
      <c r="A899" s="11">
        <v>41782</v>
      </c>
      <c r="B899" s="12">
        <v>2592</v>
      </c>
      <c r="C899" s="13" t="s">
        <v>27</v>
      </c>
      <c r="D899" s="13" t="s">
        <v>33</v>
      </c>
      <c r="E899" s="13" t="s">
        <v>29</v>
      </c>
      <c r="F899" s="13">
        <v>7</v>
      </c>
      <c r="G899" s="13">
        <v>5386.5</v>
      </c>
      <c r="H899" s="13">
        <v>4035.3862500000005</v>
      </c>
    </row>
    <row r="900" spans="1:8" x14ac:dyDescent="0.35">
      <c r="A900" s="11">
        <v>41783</v>
      </c>
      <c r="B900" s="12">
        <v>2227</v>
      </c>
      <c r="C900" s="13" t="s">
        <v>23</v>
      </c>
      <c r="D900" s="13" t="s">
        <v>33</v>
      </c>
      <c r="E900" s="13" t="s">
        <v>25</v>
      </c>
      <c r="F900" s="13">
        <v>9</v>
      </c>
      <c r="G900" s="13">
        <v>1809</v>
      </c>
      <c r="H900" s="13">
        <v>672.22439999999995</v>
      </c>
    </row>
    <row r="901" spans="1:8" x14ac:dyDescent="0.35">
      <c r="A901" s="11">
        <v>41784</v>
      </c>
      <c r="B901" s="12">
        <v>2593</v>
      </c>
      <c r="C901" s="13" t="s">
        <v>23</v>
      </c>
      <c r="D901" s="13" t="s">
        <v>33</v>
      </c>
      <c r="E901" s="13" t="s">
        <v>29</v>
      </c>
      <c r="F901" s="13">
        <v>6</v>
      </c>
      <c r="G901" s="13">
        <v>9792</v>
      </c>
      <c r="H901" s="13">
        <v>2450.6927999999998</v>
      </c>
    </row>
    <row r="902" spans="1:8" x14ac:dyDescent="0.35">
      <c r="A902" s="11">
        <v>41785</v>
      </c>
      <c r="B902" s="12">
        <v>2228</v>
      </c>
      <c r="C902" s="13" t="s">
        <v>26</v>
      </c>
      <c r="D902" s="13" t="s">
        <v>33</v>
      </c>
      <c r="E902" s="13" t="s">
        <v>25</v>
      </c>
      <c r="F902" s="13">
        <v>7</v>
      </c>
      <c r="G902" s="13">
        <v>5055.75</v>
      </c>
      <c r="H902" s="13">
        <v>2312.1630000000005</v>
      </c>
    </row>
    <row r="903" spans="1:8" x14ac:dyDescent="0.35">
      <c r="A903" s="11">
        <v>41786</v>
      </c>
      <c r="B903" s="12">
        <v>2594</v>
      </c>
      <c r="C903" s="13" t="s">
        <v>26</v>
      </c>
      <c r="D903" s="13" t="s">
        <v>33</v>
      </c>
      <c r="E903" s="13" t="s">
        <v>29</v>
      </c>
      <c r="F903" s="13">
        <v>6</v>
      </c>
      <c r="G903" s="13">
        <v>10044</v>
      </c>
      <c r="H903" s="13">
        <v>2625.2505000000001</v>
      </c>
    </row>
    <row r="904" spans="1:8" x14ac:dyDescent="0.35">
      <c r="A904" s="11">
        <v>41787</v>
      </c>
      <c r="B904" s="12">
        <v>2229</v>
      </c>
      <c r="C904" s="13" t="s">
        <v>27</v>
      </c>
      <c r="D904" s="13" t="s">
        <v>33</v>
      </c>
      <c r="E904" s="13" t="s">
        <v>28</v>
      </c>
      <c r="F904" s="13">
        <v>9</v>
      </c>
      <c r="G904" s="13">
        <v>10260</v>
      </c>
      <c r="H904" s="13">
        <v>1579.0140000000001</v>
      </c>
    </row>
    <row r="905" spans="1:8" x14ac:dyDescent="0.35">
      <c r="A905" s="11">
        <v>41788</v>
      </c>
      <c r="B905" s="12">
        <v>2595</v>
      </c>
      <c r="C905" s="13" t="s">
        <v>27</v>
      </c>
      <c r="D905" s="13" t="s">
        <v>33</v>
      </c>
      <c r="E905" s="13" t="s">
        <v>25</v>
      </c>
      <c r="F905" s="13">
        <v>6</v>
      </c>
      <c r="G905" s="13">
        <v>7236</v>
      </c>
      <c r="H905" s="13">
        <v>1536.9264000000001</v>
      </c>
    </row>
    <row r="906" spans="1:8" x14ac:dyDescent="0.35">
      <c r="A906" s="11">
        <v>41789</v>
      </c>
      <c r="B906" s="12">
        <v>2230</v>
      </c>
      <c r="C906" s="13" t="s">
        <v>23</v>
      </c>
      <c r="D906" s="13" t="s">
        <v>33</v>
      </c>
      <c r="E906" s="13" t="s">
        <v>28</v>
      </c>
      <c r="F906" s="13">
        <v>9</v>
      </c>
      <c r="G906" s="13">
        <v>2943</v>
      </c>
      <c r="H906" s="13">
        <v>2674.3041000000003</v>
      </c>
    </row>
    <row r="907" spans="1:8" x14ac:dyDescent="0.35">
      <c r="A907" s="11">
        <v>41790</v>
      </c>
      <c r="B907" s="12">
        <v>2596</v>
      </c>
      <c r="C907" s="13" t="s">
        <v>23</v>
      </c>
      <c r="D907" s="13" t="s">
        <v>33</v>
      </c>
      <c r="E907" s="13" t="s">
        <v>25</v>
      </c>
      <c r="F907" s="13">
        <v>9</v>
      </c>
      <c r="G907" s="13">
        <v>5643</v>
      </c>
      <c r="H907" s="13">
        <v>5301.5985000000001</v>
      </c>
    </row>
    <row r="908" spans="1:8" x14ac:dyDescent="0.35">
      <c r="A908" s="11">
        <v>41791</v>
      </c>
      <c r="B908" s="12">
        <v>2231</v>
      </c>
      <c r="C908" s="13" t="s">
        <v>26</v>
      </c>
      <c r="D908" s="13" t="s">
        <v>33</v>
      </c>
      <c r="E908" s="13" t="s">
        <v>28</v>
      </c>
      <c r="F908" s="13">
        <v>7</v>
      </c>
      <c r="G908" s="13">
        <v>1869</v>
      </c>
      <c r="H908" s="13">
        <v>1558.3722</v>
      </c>
    </row>
    <row r="909" spans="1:8" x14ac:dyDescent="0.35">
      <c r="A909" s="11">
        <v>41792</v>
      </c>
      <c r="B909" s="12">
        <v>2597</v>
      </c>
      <c r="C909" s="13" t="s">
        <v>26</v>
      </c>
      <c r="D909" s="13" t="s">
        <v>33</v>
      </c>
      <c r="E909" s="13" t="s">
        <v>25</v>
      </c>
      <c r="F909" s="13">
        <v>6</v>
      </c>
      <c r="G909" s="13">
        <v>3474</v>
      </c>
      <c r="H909" s="13">
        <v>1250.2926</v>
      </c>
    </row>
    <row r="910" spans="1:8" x14ac:dyDescent="0.35">
      <c r="A910" s="11">
        <v>41793</v>
      </c>
      <c r="B910" s="12">
        <v>2232</v>
      </c>
      <c r="C910" s="13" t="s">
        <v>27</v>
      </c>
      <c r="D910" s="13" t="s">
        <v>33</v>
      </c>
      <c r="E910" s="13" t="s">
        <v>29</v>
      </c>
      <c r="F910" s="13">
        <v>8</v>
      </c>
      <c r="G910" s="13">
        <v>2064</v>
      </c>
      <c r="H910" s="13">
        <v>1355.6352000000002</v>
      </c>
    </row>
    <row r="911" spans="1:8" x14ac:dyDescent="0.35">
      <c r="A911" s="11">
        <v>41794</v>
      </c>
      <c r="B911" s="12">
        <v>2598</v>
      </c>
      <c r="C911" s="13" t="s">
        <v>27</v>
      </c>
      <c r="D911" s="13" t="s">
        <v>33</v>
      </c>
      <c r="E911" s="13" t="s">
        <v>28</v>
      </c>
      <c r="F911" s="13">
        <v>7</v>
      </c>
      <c r="G911" s="13">
        <v>2068.5</v>
      </c>
      <c r="H911" s="13">
        <v>907.86464999999998</v>
      </c>
    </row>
    <row r="912" spans="1:8" x14ac:dyDescent="0.35">
      <c r="A912" s="11">
        <v>41795</v>
      </c>
      <c r="B912" s="12">
        <v>2233</v>
      </c>
      <c r="C912" s="13" t="s">
        <v>23</v>
      </c>
      <c r="D912" s="13" t="s">
        <v>33</v>
      </c>
      <c r="E912" s="13" t="s">
        <v>29</v>
      </c>
      <c r="F912" s="13">
        <v>8</v>
      </c>
      <c r="G912" s="13">
        <v>4356</v>
      </c>
      <c r="H912" s="13">
        <v>1457.9531999999999</v>
      </c>
    </row>
    <row r="913" spans="1:8" x14ac:dyDescent="0.35">
      <c r="A913" s="11">
        <v>41796</v>
      </c>
      <c r="B913" s="12">
        <v>2599</v>
      </c>
      <c r="C913" s="13" t="s">
        <v>23</v>
      </c>
      <c r="D913" s="13" t="s">
        <v>33</v>
      </c>
      <c r="E913" s="13" t="s">
        <v>28</v>
      </c>
      <c r="F913" s="13">
        <v>6</v>
      </c>
      <c r="G913" s="13">
        <v>9900</v>
      </c>
      <c r="H913" s="13">
        <v>2066.13</v>
      </c>
    </row>
    <row r="914" spans="1:8" x14ac:dyDescent="0.35">
      <c r="A914" s="11">
        <v>41797</v>
      </c>
      <c r="B914" s="12">
        <v>2234</v>
      </c>
      <c r="C914" s="13" t="s">
        <v>26</v>
      </c>
      <c r="D914" s="13" t="s">
        <v>33</v>
      </c>
      <c r="E914" s="13" t="s">
        <v>29</v>
      </c>
      <c r="F914" s="13">
        <v>8</v>
      </c>
      <c r="G914" s="13">
        <v>11904</v>
      </c>
      <c r="H914" s="13">
        <v>4160.4479999999994</v>
      </c>
    </row>
    <row r="915" spans="1:8" x14ac:dyDescent="0.35">
      <c r="A915" s="11">
        <v>41798</v>
      </c>
      <c r="B915" s="12">
        <v>2600</v>
      </c>
      <c r="C915" s="13" t="s">
        <v>26</v>
      </c>
      <c r="D915" s="13" t="s">
        <v>33</v>
      </c>
      <c r="E915" s="13" t="s">
        <v>28</v>
      </c>
      <c r="F915" s="13">
        <v>6</v>
      </c>
      <c r="G915" s="13">
        <v>7357.5</v>
      </c>
      <c r="H915" s="13">
        <v>914.6844000000001</v>
      </c>
    </row>
    <row r="916" spans="1:8" x14ac:dyDescent="0.35">
      <c r="A916" s="11">
        <v>41799</v>
      </c>
      <c r="B916" s="12">
        <v>2235</v>
      </c>
      <c r="C916" s="13" t="s">
        <v>27</v>
      </c>
      <c r="D916" s="13" t="s">
        <v>33</v>
      </c>
      <c r="E916" s="13" t="s">
        <v>25</v>
      </c>
      <c r="F916" s="13">
        <v>8</v>
      </c>
      <c r="G916" s="13">
        <v>4728</v>
      </c>
      <c r="H916" s="13">
        <v>4931.3040000000001</v>
      </c>
    </row>
    <row r="917" spans="1:8" x14ac:dyDescent="0.35">
      <c r="A917" s="11">
        <v>41800</v>
      </c>
      <c r="B917" s="12">
        <v>2601</v>
      </c>
      <c r="C917" s="13" t="s">
        <v>27</v>
      </c>
      <c r="D917" s="13" t="s">
        <v>33</v>
      </c>
      <c r="E917" s="13" t="s">
        <v>29</v>
      </c>
      <c r="F917" s="13">
        <v>9</v>
      </c>
      <c r="G917" s="13">
        <v>8869.5</v>
      </c>
      <c r="H917" s="13">
        <v>1227.24315</v>
      </c>
    </row>
    <row r="918" spans="1:8" x14ac:dyDescent="0.35">
      <c r="A918" s="11">
        <v>41801</v>
      </c>
      <c r="B918" s="12">
        <v>2236</v>
      </c>
      <c r="C918" s="13" t="s">
        <v>23</v>
      </c>
      <c r="D918" s="13" t="s">
        <v>33</v>
      </c>
      <c r="E918" s="13" t="s">
        <v>25</v>
      </c>
      <c r="F918" s="13">
        <v>9</v>
      </c>
      <c r="G918" s="13">
        <v>9864</v>
      </c>
      <c r="H918" s="13">
        <v>3500.7336</v>
      </c>
    </row>
    <row r="919" spans="1:8" x14ac:dyDescent="0.35">
      <c r="A919" s="11">
        <v>41802</v>
      </c>
      <c r="B919" s="12">
        <v>2602</v>
      </c>
      <c r="C919" s="13" t="s">
        <v>23</v>
      </c>
      <c r="D919" s="13" t="s">
        <v>33</v>
      </c>
      <c r="E919" s="13" t="s">
        <v>29</v>
      </c>
      <c r="F919" s="13">
        <v>9</v>
      </c>
      <c r="G919" s="13">
        <v>10548</v>
      </c>
      <c r="H919" s="13">
        <v>4387.9679999999998</v>
      </c>
    </row>
    <row r="920" spans="1:8" x14ac:dyDescent="0.35">
      <c r="A920" s="11">
        <v>41803</v>
      </c>
      <c r="B920" s="12">
        <v>2237</v>
      </c>
      <c r="C920" s="13" t="s">
        <v>26</v>
      </c>
      <c r="D920" s="13" t="s">
        <v>33</v>
      </c>
      <c r="E920" s="13" t="s">
        <v>25</v>
      </c>
      <c r="F920" s="13">
        <v>10</v>
      </c>
      <c r="G920" s="13">
        <v>6120</v>
      </c>
      <c r="H920" s="13">
        <v>710.12400000000002</v>
      </c>
    </row>
    <row r="921" spans="1:8" x14ac:dyDescent="0.35">
      <c r="A921" s="11">
        <v>41804</v>
      </c>
      <c r="B921" s="12">
        <v>2603</v>
      </c>
      <c r="C921" s="13" t="s">
        <v>26</v>
      </c>
      <c r="D921" s="13" t="s">
        <v>33</v>
      </c>
      <c r="E921" s="13" t="s">
        <v>29</v>
      </c>
      <c r="F921" s="13">
        <v>6</v>
      </c>
      <c r="G921" s="13">
        <v>1737</v>
      </c>
      <c r="H921" s="13">
        <v>1066.1705999999999</v>
      </c>
    </row>
    <row r="922" spans="1:8" x14ac:dyDescent="0.35">
      <c r="A922" s="11">
        <v>41805</v>
      </c>
      <c r="B922" s="12">
        <v>2238</v>
      </c>
      <c r="C922" s="13" t="s">
        <v>27</v>
      </c>
      <c r="D922" s="13" t="s">
        <v>33</v>
      </c>
      <c r="E922" s="13" t="s">
        <v>28</v>
      </c>
      <c r="F922" s="13">
        <v>6</v>
      </c>
      <c r="G922" s="13">
        <v>2011.5</v>
      </c>
      <c r="H922" s="13">
        <v>1330.0038</v>
      </c>
    </row>
    <row r="923" spans="1:8" x14ac:dyDescent="0.35">
      <c r="A923" s="11">
        <v>41806</v>
      </c>
      <c r="B923" s="12">
        <v>2604</v>
      </c>
      <c r="C923" s="13" t="s">
        <v>27</v>
      </c>
      <c r="D923" s="13" t="s">
        <v>33</v>
      </c>
      <c r="E923" s="13" t="s">
        <v>25</v>
      </c>
      <c r="F923" s="13">
        <v>6</v>
      </c>
      <c r="G923" s="13">
        <v>5022</v>
      </c>
      <c r="H923" s="13">
        <v>1730.5812000000001</v>
      </c>
    </row>
    <row r="924" spans="1:8" x14ac:dyDescent="0.35">
      <c r="A924" s="11">
        <v>41807</v>
      </c>
      <c r="B924" s="12">
        <v>2239</v>
      </c>
      <c r="C924" s="13" t="s">
        <v>23</v>
      </c>
      <c r="D924" s="13" t="s">
        <v>33</v>
      </c>
      <c r="E924" s="13" t="s">
        <v>28</v>
      </c>
      <c r="F924" s="13">
        <v>9</v>
      </c>
      <c r="G924" s="13">
        <v>7627.5</v>
      </c>
      <c r="H924" s="13">
        <v>1917.0958500000002</v>
      </c>
    </row>
    <row r="925" spans="1:8" x14ac:dyDescent="0.35">
      <c r="A925" s="11">
        <v>41808</v>
      </c>
      <c r="B925" s="12">
        <v>2605</v>
      </c>
      <c r="C925" s="13" t="s">
        <v>23</v>
      </c>
      <c r="D925" s="13" t="s">
        <v>33</v>
      </c>
      <c r="E925" s="13" t="s">
        <v>25</v>
      </c>
      <c r="F925" s="13">
        <v>10</v>
      </c>
      <c r="G925" s="13">
        <v>13050</v>
      </c>
      <c r="H925" s="13">
        <v>4386.1049999999996</v>
      </c>
    </row>
    <row r="926" spans="1:8" x14ac:dyDescent="0.35">
      <c r="A926" s="11">
        <v>41809</v>
      </c>
      <c r="B926" s="12">
        <v>2240</v>
      </c>
      <c r="C926" s="13" t="s">
        <v>26</v>
      </c>
      <c r="D926" s="13" t="s">
        <v>33</v>
      </c>
      <c r="E926" s="13" t="s">
        <v>28</v>
      </c>
      <c r="F926" s="13">
        <v>10</v>
      </c>
      <c r="G926" s="13">
        <v>10450</v>
      </c>
      <c r="H926" s="13">
        <v>4504.9949999999999</v>
      </c>
    </row>
    <row r="927" spans="1:8" x14ac:dyDescent="0.35">
      <c r="A927" s="11">
        <v>41810</v>
      </c>
      <c r="B927" s="12">
        <v>2606</v>
      </c>
      <c r="C927" s="13" t="s">
        <v>26</v>
      </c>
      <c r="D927" s="13" t="s">
        <v>33</v>
      </c>
      <c r="E927" s="13" t="s">
        <v>25</v>
      </c>
      <c r="F927" s="13">
        <v>7</v>
      </c>
      <c r="G927" s="13">
        <v>5607</v>
      </c>
      <c r="H927" s="13">
        <v>2206.9152000000004</v>
      </c>
    </row>
    <row r="928" spans="1:8" x14ac:dyDescent="0.35">
      <c r="A928" s="11">
        <v>41811</v>
      </c>
      <c r="B928" s="12">
        <v>2241</v>
      </c>
      <c r="C928" s="13" t="s">
        <v>27</v>
      </c>
      <c r="D928" s="13" t="s">
        <v>33</v>
      </c>
      <c r="E928" s="13" t="s">
        <v>29</v>
      </c>
      <c r="F928" s="13">
        <v>8</v>
      </c>
      <c r="G928" s="13">
        <v>5256</v>
      </c>
      <c r="H928" s="13">
        <v>2346.2784000000001</v>
      </c>
    </row>
    <row r="929" spans="1:8" x14ac:dyDescent="0.35">
      <c r="A929" s="11">
        <v>41812</v>
      </c>
      <c r="B929" s="12">
        <v>2607</v>
      </c>
      <c r="C929" s="13" t="s">
        <v>27</v>
      </c>
      <c r="D929" s="13" t="s">
        <v>33</v>
      </c>
      <c r="E929" s="13" t="s">
        <v>28</v>
      </c>
      <c r="F929" s="13">
        <v>8</v>
      </c>
      <c r="G929" s="13">
        <v>1584</v>
      </c>
      <c r="H929" s="13">
        <v>3345.4079999999999</v>
      </c>
    </row>
    <row r="930" spans="1:8" x14ac:dyDescent="0.35">
      <c r="A930" s="11">
        <v>41813</v>
      </c>
      <c r="B930" s="12">
        <v>2242</v>
      </c>
      <c r="C930" s="13" t="s">
        <v>23</v>
      </c>
      <c r="D930" s="13" t="s">
        <v>33</v>
      </c>
      <c r="E930" s="13" t="s">
        <v>29</v>
      </c>
      <c r="F930" s="13">
        <v>8</v>
      </c>
      <c r="G930" s="13">
        <v>6426</v>
      </c>
      <c r="H930" s="13">
        <v>1597.0751999999998</v>
      </c>
    </row>
    <row r="931" spans="1:8" x14ac:dyDescent="0.35">
      <c r="A931" s="11">
        <v>41814</v>
      </c>
      <c r="B931" s="12">
        <v>2608</v>
      </c>
      <c r="C931" s="13" t="s">
        <v>23</v>
      </c>
      <c r="D931" s="13" t="s">
        <v>33</v>
      </c>
      <c r="E931" s="13" t="s">
        <v>28</v>
      </c>
      <c r="F931" s="13">
        <v>7</v>
      </c>
      <c r="G931" s="13">
        <v>5544</v>
      </c>
      <c r="H931" s="13">
        <v>872.34840000000008</v>
      </c>
    </row>
    <row r="932" spans="1:8" x14ac:dyDescent="0.35">
      <c r="A932" s="11">
        <v>41815</v>
      </c>
      <c r="B932" s="12">
        <v>2243</v>
      </c>
      <c r="C932" s="13" t="s">
        <v>26</v>
      </c>
      <c r="D932" s="13" t="s">
        <v>33</v>
      </c>
      <c r="E932" s="13" t="s">
        <v>29</v>
      </c>
      <c r="F932" s="13">
        <v>8</v>
      </c>
      <c r="G932" s="13">
        <v>9312</v>
      </c>
      <c r="H932" s="13">
        <v>1458.7248000000002</v>
      </c>
    </row>
    <row r="933" spans="1:8" x14ac:dyDescent="0.35">
      <c r="A933" s="11">
        <v>41816</v>
      </c>
      <c r="B933" s="12">
        <v>2609</v>
      </c>
      <c r="C933" s="13" t="s">
        <v>26</v>
      </c>
      <c r="D933" s="13" t="s">
        <v>33</v>
      </c>
      <c r="E933" s="13" t="s">
        <v>28</v>
      </c>
      <c r="F933" s="13">
        <v>6</v>
      </c>
      <c r="G933" s="13">
        <v>6912</v>
      </c>
      <c r="H933" s="13">
        <v>2849.1264000000001</v>
      </c>
    </row>
    <row r="934" spans="1:8" x14ac:dyDescent="0.35">
      <c r="A934" s="11">
        <v>41817</v>
      </c>
      <c r="B934" s="12">
        <v>2244</v>
      </c>
      <c r="C934" s="13" t="s">
        <v>27</v>
      </c>
      <c r="D934" s="13" t="s">
        <v>33</v>
      </c>
      <c r="E934" s="13" t="s">
        <v>25</v>
      </c>
      <c r="F934" s="13">
        <v>6</v>
      </c>
      <c r="G934" s="13">
        <v>8676</v>
      </c>
      <c r="H934" s="13">
        <v>4146.0434999999998</v>
      </c>
    </row>
    <row r="935" spans="1:8" x14ac:dyDescent="0.35">
      <c r="A935" s="11">
        <v>41818</v>
      </c>
      <c r="B935" s="12">
        <v>2610</v>
      </c>
      <c r="C935" s="13" t="s">
        <v>27</v>
      </c>
      <c r="D935" s="13" t="s">
        <v>33</v>
      </c>
      <c r="E935" s="13" t="s">
        <v>29</v>
      </c>
      <c r="F935" s="13">
        <v>10</v>
      </c>
      <c r="G935" s="13">
        <v>10020</v>
      </c>
      <c r="H935" s="13">
        <v>919.58550000000002</v>
      </c>
    </row>
    <row r="936" spans="1:8" x14ac:dyDescent="0.35">
      <c r="A936" s="11">
        <v>41819</v>
      </c>
      <c r="B936" s="12">
        <v>2245</v>
      </c>
      <c r="C936" s="13" t="s">
        <v>23</v>
      </c>
      <c r="D936" s="13" t="s">
        <v>33</v>
      </c>
      <c r="E936" s="13" t="s">
        <v>25</v>
      </c>
      <c r="F936" s="13">
        <v>10</v>
      </c>
      <c r="G936" s="13">
        <v>9360</v>
      </c>
      <c r="H936" s="13">
        <v>2694.2759999999998</v>
      </c>
    </row>
    <row r="937" spans="1:8" x14ac:dyDescent="0.35">
      <c r="A937" s="11">
        <v>41820</v>
      </c>
      <c r="B937" s="12">
        <v>2611</v>
      </c>
      <c r="C937" s="13" t="s">
        <v>23</v>
      </c>
      <c r="D937" s="13" t="s">
        <v>33</v>
      </c>
      <c r="E937" s="13" t="s">
        <v>29</v>
      </c>
      <c r="F937" s="13">
        <v>6</v>
      </c>
      <c r="G937" s="13">
        <v>4284</v>
      </c>
      <c r="H937" s="13">
        <v>3193.2936</v>
      </c>
    </row>
    <row r="938" spans="1:8" x14ac:dyDescent="0.35">
      <c r="A938" s="11">
        <v>41821</v>
      </c>
      <c r="B938" s="12">
        <v>2246</v>
      </c>
      <c r="C938" s="13" t="s">
        <v>26</v>
      </c>
      <c r="D938" s="13" t="s">
        <v>33</v>
      </c>
      <c r="E938" s="13" t="s">
        <v>25</v>
      </c>
      <c r="F938" s="13">
        <v>6</v>
      </c>
      <c r="G938" s="13">
        <v>7290</v>
      </c>
      <c r="H938" s="13">
        <v>645.01920000000007</v>
      </c>
    </row>
    <row r="939" spans="1:8" x14ac:dyDescent="0.35">
      <c r="A939" s="11">
        <v>41822</v>
      </c>
      <c r="B939" s="12">
        <v>2612</v>
      </c>
      <c r="C939" s="13" t="s">
        <v>26</v>
      </c>
      <c r="D939" s="13" t="s">
        <v>33</v>
      </c>
      <c r="E939" s="13" t="s">
        <v>29</v>
      </c>
      <c r="F939" s="13">
        <v>9</v>
      </c>
      <c r="G939" s="13">
        <v>4171.5</v>
      </c>
      <c r="H939" s="13">
        <v>4196.5289999999995</v>
      </c>
    </row>
    <row r="940" spans="1:8" x14ac:dyDescent="0.35">
      <c r="A940" s="11">
        <v>41823</v>
      </c>
      <c r="B940" s="12">
        <v>2247</v>
      </c>
      <c r="C940" s="13" t="s">
        <v>27</v>
      </c>
      <c r="D940" s="13" t="s">
        <v>33</v>
      </c>
      <c r="E940" s="13" t="s">
        <v>28</v>
      </c>
      <c r="F940" s="13">
        <v>9</v>
      </c>
      <c r="G940" s="13">
        <v>9432</v>
      </c>
      <c r="H940" s="13">
        <v>3880.3247999999999</v>
      </c>
    </row>
    <row r="941" spans="1:8" x14ac:dyDescent="0.35">
      <c r="A941" s="11">
        <v>41824</v>
      </c>
      <c r="B941" s="12">
        <v>2613</v>
      </c>
      <c r="C941" s="13" t="s">
        <v>27</v>
      </c>
      <c r="D941" s="13" t="s">
        <v>33</v>
      </c>
      <c r="E941" s="13" t="s">
        <v>25</v>
      </c>
      <c r="F941" s="13">
        <v>9</v>
      </c>
      <c r="G941" s="13">
        <v>2207.25</v>
      </c>
      <c r="H941" s="13">
        <v>1667.7981000000002</v>
      </c>
    </row>
    <row r="942" spans="1:8" x14ac:dyDescent="0.35">
      <c r="A942" s="11">
        <v>41825</v>
      </c>
      <c r="B942" s="12">
        <v>2248</v>
      </c>
      <c r="C942" s="13" t="s">
        <v>23</v>
      </c>
      <c r="D942" s="13" t="s">
        <v>33</v>
      </c>
      <c r="E942" s="13" t="s">
        <v>28</v>
      </c>
      <c r="F942" s="13">
        <v>8</v>
      </c>
      <c r="G942" s="13">
        <v>2144</v>
      </c>
      <c r="H942" s="13">
        <v>868.10559999999998</v>
      </c>
    </row>
    <row r="943" spans="1:8" x14ac:dyDescent="0.35">
      <c r="A943" s="11">
        <v>41826</v>
      </c>
      <c r="B943" s="12">
        <v>2614</v>
      </c>
      <c r="C943" s="13" t="s">
        <v>23</v>
      </c>
      <c r="D943" s="13" t="s">
        <v>33</v>
      </c>
      <c r="E943" s="13" t="s">
        <v>25</v>
      </c>
      <c r="F943" s="13">
        <v>6</v>
      </c>
      <c r="G943" s="13">
        <v>5157</v>
      </c>
      <c r="H943" s="13">
        <v>2928.3165000000004</v>
      </c>
    </row>
    <row r="944" spans="1:8" x14ac:dyDescent="0.35">
      <c r="A944" s="11">
        <v>41827</v>
      </c>
      <c r="B944" s="12">
        <v>2249</v>
      </c>
      <c r="C944" s="13" t="s">
        <v>26</v>
      </c>
      <c r="D944" s="13" t="s">
        <v>33</v>
      </c>
      <c r="E944" s="13" t="s">
        <v>28</v>
      </c>
      <c r="F944" s="13">
        <v>9</v>
      </c>
      <c r="G944" s="13">
        <v>11178</v>
      </c>
      <c r="H944" s="13">
        <v>3189.0834000000004</v>
      </c>
    </row>
    <row r="945" spans="1:8" x14ac:dyDescent="0.35">
      <c r="A945" s="11">
        <v>41828</v>
      </c>
      <c r="B945" s="12">
        <v>2615</v>
      </c>
      <c r="C945" s="13" t="s">
        <v>26</v>
      </c>
      <c r="D945" s="13" t="s">
        <v>33</v>
      </c>
      <c r="E945" s="13" t="s">
        <v>25</v>
      </c>
      <c r="F945" s="13">
        <v>8</v>
      </c>
      <c r="G945" s="13">
        <v>5568</v>
      </c>
      <c r="H945" s="13">
        <v>4292.9279999999999</v>
      </c>
    </row>
    <row r="946" spans="1:8" x14ac:dyDescent="0.35">
      <c r="A946" s="11">
        <v>41829</v>
      </c>
      <c r="B946" s="12">
        <v>2250</v>
      </c>
      <c r="C946" s="13" t="s">
        <v>27</v>
      </c>
      <c r="D946" s="13" t="s">
        <v>33</v>
      </c>
      <c r="E946" s="13" t="s">
        <v>29</v>
      </c>
      <c r="F946" s="13">
        <v>7</v>
      </c>
      <c r="G946" s="13">
        <v>9324</v>
      </c>
      <c r="H946" s="13">
        <v>834.73109999999997</v>
      </c>
    </row>
    <row r="947" spans="1:8" x14ac:dyDescent="0.35">
      <c r="A947" s="11">
        <v>40909</v>
      </c>
      <c r="B947" s="12">
        <v>2461</v>
      </c>
      <c r="C947" s="13" t="s">
        <v>23</v>
      </c>
      <c r="D947" s="13" t="s">
        <v>34</v>
      </c>
      <c r="E947" s="13" t="s">
        <v>25</v>
      </c>
      <c r="F947" s="13">
        <v>10</v>
      </c>
      <c r="G947" s="13">
        <v>8370</v>
      </c>
      <c r="H947" s="13">
        <v>3260.9519999999998</v>
      </c>
    </row>
    <row r="948" spans="1:8" x14ac:dyDescent="0.35">
      <c r="A948" s="11">
        <v>40910</v>
      </c>
      <c r="B948" s="12">
        <v>2826</v>
      </c>
      <c r="C948" s="13" t="s">
        <v>27</v>
      </c>
      <c r="D948" s="13" t="s">
        <v>34</v>
      </c>
      <c r="E948" s="13" t="s">
        <v>29</v>
      </c>
      <c r="F948" s="13">
        <v>6</v>
      </c>
      <c r="G948" s="13">
        <v>10080</v>
      </c>
      <c r="H948" s="13">
        <v>2938.5719999999997</v>
      </c>
    </row>
    <row r="949" spans="1:8" x14ac:dyDescent="0.35">
      <c r="A949" s="11">
        <v>40911</v>
      </c>
      <c r="B949" s="12">
        <v>2462</v>
      </c>
      <c r="C949" s="13" t="s">
        <v>26</v>
      </c>
      <c r="D949" s="13" t="s">
        <v>34</v>
      </c>
      <c r="E949" s="13" t="s">
        <v>25</v>
      </c>
      <c r="F949" s="13">
        <v>6</v>
      </c>
      <c r="G949" s="13">
        <v>7560</v>
      </c>
      <c r="H949" s="13">
        <v>2281.6080000000002</v>
      </c>
    </row>
    <row r="950" spans="1:8" x14ac:dyDescent="0.35">
      <c r="A950" s="11">
        <v>40913</v>
      </c>
      <c r="B950" s="12">
        <v>2827</v>
      </c>
      <c r="C950" s="13" t="s">
        <v>23</v>
      </c>
      <c r="D950" s="13" t="s">
        <v>34</v>
      </c>
      <c r="E950" s="13" t="s">
        <v>29</v>
      </c>
      <c r="F950" s="13">
        <v>8</v>
      </c>
      <c r="G950" s="13">
        <v>7248</v>
      </c>
      <c r="H950" s="13">
        <v>1923.2568000000001</v>
      </c>
    </row>
    <row r="951" spans="1:8" x14ac:dyDescent="0.35">
      <c r="A951" s="11">
        <v>40914</v>
      </c>
      <c r="B951" s="12">
        <v>2463</v>
      </c>
      <c r="C951" s="13" t="s">
        <v>27</v>
      </c>
      <c r="D951" s="13" t="s">
        <v>34</v>
      </c>
      <c r="E951" s="13" t="s">
        <v>28</v>
      </c>
      <c r="F951" s="13">
        <v>10</v>
      </c>
      <c r="G951" s="13">
        <v>14025</v>
      </c>
      <c r="H951" s="13">
        <v>1848.4950000000003</v>
      </c>
    </row>
    <row r="952" spans="1:8" x14ac:dyDescent="0.35">
      <c r="A952" s="11">
        <v>40915</v>
      </c>
      <c r="B952" s="12">
        <v>2828</v>
      </c>
      <c r="C952" s="13" t="s">
        <v>26</v>
      </c>
      <c r="D952" s="13" t="s">
        <v>34</v>
      </c>
      <c r="E952" s="13" t="s">
        <v>29</v>
      </c>
      <c r="F952" s="13">
        <v>8</v>
      </c>
      <c r="G952" s="13">
        <v>2256</v>
      </c>
      <c r="H952" s="13">
        <v>1967.232</v>
      </c>
    </row>
    <row r="953" spans="1:8" x14ac:dyDescent="0.35">
      <c r="A953" s="11">
        <v>40916</v>
      </c>
      <c r="B953" s="12">
        <v>2464</v>
      </c>
      <c r="C953" s="13" t="s">
        <v>23</v>
      </c>
      <c r="D953" s="13" t="s">
        <v>34</v>
      </c>
      <c r="E953" s="13" t="s">
        <v>28</v>
      </c>
      <c r="F953" s="13">
        <v>6</v>
      </c>
      <c r="G953" s="13">
        <v>11002.5</v>
      </c>
      <c r="H953" s="13">
        <v>4562.73675</v>
      </c>
    </row>
    <row r="954" spans="1:8" x14ac:dyDescent="0.35">
      <c r="A954" s="11">
        <v>40917</v>
      </c>
      <c r="B954" s="12">
        <v>2829</v>
      </c>
      <c r="C954" s="13" t="s">
        <v>27</v>
      </c>
      <c r="D954" s="13" t="s">
        <v>34</v>
      </c>
      <c r="E954" s="13" t="s">
        <v>25</v>
      </c>
      <c r="F954" s="13">
        <v>10</v>
      </c>
      <c r="G954" s="13">
        <v>10300</v>
      </c>
      <c r="H954" s="13">
        <v>2440.482</v>
      </c>
    </row>
    <row r="955" spans="1:8" x14ac:dyDescent="0.35">
      <c r="A955" s="11">
        <v>40918</v>
      </c>
      <c r="B955" s="12">
        <v>2465</v>
      </c>
      <c r="C955" s="13" t="s">
        <v>26</v>
      </c>
      <c r="D955" s="13" t="s">
        <v>34</v>
      </c>
      <c r="E955" s="13" t="s">
        <v>28</v>
      </c>
      <c r="F955" s="13">
        <v>8</v>
      </c>
      <c r="G955" s="13">
        <v>5832</v>
      </c>
      <c r="H955" s="13">
        <v>1251.2556</v>
      </c>
    </row>
    <row r="956" spans="1:8" x14ac:dyDescent="0.35">
      <c r="A956" s="11">
        <v>40919</v>
      </c>
      <c r="B956" s="12">
        <v>2830</v>
      </c>
      <c r="C956" s="13" t="s">
        <v>23</v>
      </c>
      <c r="D956" s="13" t="s">
        <v>34</v>
      </c>
      <c r="E956" s="13" t="s">
        <v>25</v>
      </c>
      <c r="F956" s="13">
        <v>7</v>
      </c>
      <c r="G956" s="13">
        <v>2173.5</v>
      </c>
      <c r="H956" s="13">
        <v>3364.5779999999995</v>
      </c>
    </row>
    <row r="957" spans="1:8" x14ac:dyDescent="0.35">
      <c r="A957" s="11">
        <v>40920</v>
      </c>
      <c r="B957" s="12">
        <v>2466</v>
      </c>
      <c r="C957" s="13" t="s">
        <v>27</v>
      </c>
      <c r="D957" s="13" t="s">
        <v>34</v>
      </c>
      <c r="E957" s="13" t="s">
        <v>29</v>
      </c>
      <c r="F957" s="13">
        <v>6</v>
      </c>
      <c r="G957" s="13">
        <v>3546</v>
      </c>
      <c r="H957" s="13">
        <v>2980.7676000000001</v>
      </c>
    </row>
    <row r="958" spans="1:8" x14ac:dyDescent="0.35">
      <c r="A958" s="11">
        <v>40921</v>
      </c>
      <c r="B958" s="12">
        <v>2831</v>
      </c>
      <c r="C958" s="13" t="s">
        <v>26</v>
      </c>
      <c r="D958" s="13" t="s">
        <v>34</v>
      </c>
      <c r="E958" s="13" t="s">
        <v>25</v>
      </c>
      <c r="F958" s="13">
        <v>6</v>
      </c>
      <c r="G958" s="13">
        <v>6439.5</v>
      </c>
      <c r="H958" s="13">
        <v>901.31534999999997</v>
      </c>
    </row>
    <row r="959" spans="1:8" x14ac:dyDescent="0.35">
      <c r="A959" s="11">
        <v>40922</v>
      </c>
      <c r="B959" s="12">
        <v>2467</v>
      </c>
      <c r="C959" s="13" t="s">
        <v>23</v>
      </c>
      <c r="D959" s="13" t="s">
        <v>34</v>
      </c>
      <c r="E959" s="13" t="s">
        <v>29</v>
      </c>
      <c r="F959" s="13">
        <v>10</v>
      </c>
      <c r="G959" s="13">
        <v>14300</v>
      </c>
      <c r="H959" s="13">
        <v>5694.26</v>
      </c>
    </row>
    <row r="960" spans="1:8" x14ac:dyDescent="0.35">
      <c r="A960" s="11">
        <v>40923</v>
      </c>
      <c r="B960" s="12">
        <v>2832</v>
      </c>
      <c r="C960" s="13" t="s">
        <v>27</v>
      </c>
      <c r="D960" s="13" t="s">
        <v>34</v>
      </c>
      <c r="E960" s="13" t="s">
        <v>28</v>
      </c>
      <c r="F960" s="13">
        <v>8</v>
      </c>
      <c r="G960" s="13">
        <v>12060</v>
      </c>
      <c r="H960" s="13">
        <v>2411.0352000000003</v>
      </c>
    </row>
    <row r="961" spans="1:8" x14ac:dyDescent="0.35">
      <c r="A961" s="11">
        <v>40924</v>
      </c>
      <c r="B961" s="12">
        <v>2468</v>
      </c>
      <c r="C961" s="13" t="s">
        <v>26</v>
      </c>
      <c r="D961" s="13" t="s">
        <v>34</v>
      </c>
      <c r="E961" s="13" t="s">
        <v>29</v>
      </c>
      <c r="F961" s="13">
        <v>9</v>
      </c>
      <c r="G961" s="13">
        <v>4104</v>
      </c>
      <c r="H961" s="13">
        <v>632.22119999999995</v>
      </c>
    </row>
    <row r="962" spans="1:8" x14ac:dyDescent="0.35">
      <c r="A962" s="11">
        <v>40925</v>
      </c>
      <c r="B962" s="12">
        <v>2833</v>
      </c>
      <c r="C962" s="13" t="s">
        <v>23</v>
      </c>
      <c r="D962" s="13" t="s">
        <v>34</v>
      </c>
      <c r="E962" s="13" t="s">
        <v>28</v>
      </c>
      <c r="F962" s="13">
        <v>8</v>
      </c>
      <c r="G962" s="13">
        <v>10640</v>
      </c>
      <c r="H962" s="13">
        <v>2694.0480000000002</v>
      </c>
    </row>
    <row r="963" spans="1:8" x14ac:dyDescent="0.35">
      <c r="A963" s="11">
        <v>40926</v>
      </c>
      <c r="B963" s="12">
        <v>2469</v>
      </c>
      <c r="C963" s="13" t="s">
        <v>27</v>
      </c>
      <c r="D963" s="13" t="s">
        <v>34</v>
      </c>
      <c r="E963" s="13" t="s">
        <v>25</v>
      </c>
      <c r="F963" s="13">
        <v>6</v>
      </c>
      <c r="G963" s="13">
        <v>3654</v>
      </c>
      <c r="H963" s="13">
        <v>2649.8807999999999</v>
      </c>
    </row>
    <row r="964" spans="1:8" x14ac:dyDescent="0.35">
      <c r="A964" s="11">
        <v>40927</v>
      </c>
      <c r="B964" s="12">
        <v>2834</v>
      </c>
      <c r="C964" s="13" t="s">
        <v>26</v>
      </c>
      <c r="D964" s="13" t="s">
        <v>34</v>
      </c>
      <c r="E964" s="13" t="s">
        <v>28</v>
      </c>
      <c r="F964" s="13">
        <v>8</v>
      </c>
      <c r="G964" s="13">
        <v>7440</v>
      </c>
      <c r="H964" s="13">
        <v>1705.2479999999998</v>
      </c>
    </row>
    <row r="965" spans="1:8" x14ac:dyDescent="0.35">
      <c r="A965" s="11">
        <v>40928</v>
      </c>
      <c r="B965" s="12">
        <v>2470</v>
      </c>
      <c r="C965" s="13" t="s">
        <v>23</v>
      </c>
      <c r="D965" s="13" t="s">
        <v>34</v>
      </c>
      <c r="E965" s="13" t="s">
        <v>25</v>
      </c>
      <c r="F965" s="13">
        <v>10</v>
      </c>
      <c r="G965" s="13">
        <v>9840</v>
      </c>
      <c r="H965" s="13">
        <v>3874.5</v>
      </c>
    </row>
    <row r="966" spans="1:8" x14ac:dyDescent="0.35">
      <c r="A966" s="11">
        <v>40929</v>
      </c>
      <c r="B966" s="12">
        <v>2835</v>
      </c>
      <c r="C966" s="13" t="s">
        <v>27</v>
      </c>
      <c r="D966" s="13" t="s">
        <v>34</v>
      </c>
      <c r="E966" s="13" t="s">
        <v>29</v>
      </c>
      <c r="F966" s="13">
        <v>6</v>
      </c>
      <c r="G966" s="13">
        <v>7128</v>
      </c>
      <c r="H966" s="13">
        <v>2157.6456000000003</v>
      </c>
    </row>
    <row r="967" spans="1:8" x14ac:dyDescent="0.35">
      <c r="A967" s="11">
        <v>40930</v>
      </c>
      <c r="B967" s="12">
        <v>2471</v>
      </c>
      <c r="C967" s="13" t="s">
        <v>26</v>
      </c>
      <c r="D967" s="13" t="s">
        <v>34</v>
      </c>
      <c r="E967" s="13" t="s">
        <v>25</v>
      </c>
      <c r="F967" s="13">
        <v>9</v>
      </c>
      <c r="G967" s="13">
        <v>10440</v>
      </c>
      <c r="H967" s="13">
        <v>3222.8279999999995</v>
      </c>
    </row>
    <row r="968" spans="1:8" x14ac:dyDescent="0.35">
      <c r="A968" s="11">
        <v>40931</v>
      </c>
      <c r="B968" s="12">
        <v>2836</v>
      </c>
      <c r="C968" s="13" t="s">
        <v>23</v>
      </c>
      <c r="D968" s="13" t="s">
        <v>34</v>
      </c>
      <c r="E968" s="13" t="s">
        <v>29</v>
      </c>
      <c r="F968" s="13">
        <v>6</v>
      </c>
      <c r="G968" s="13">
        <v>2412</v>
      </c>
      <c r="H968" s="13">
        <v>2929.1328000000003</v>
      </c>
    </row>
    <row r="969" spans="1:8" x14ac:dyDescent="0.35">
      <c r="A969" s="11">
        <v>40932</v>
      </c>
      <c r="B969" s="12">
        <v>2472</v>
      </c>
      <c r="C969" s="13" t="s">
        <v>27</v>
      </c>
      <c r="D969" s="13" t="s">
        <v>34</v>
      </c>
      <c r="E969" s="13" t="s">
        <v>28</v>
      </c>
      <c r="F969" s="13">
        <v>9</v>
      </c>
      <c r="G969" s="13">
        <v>2794.5</v>
      </c>
      <c r="H969" s="13">
        <v>5992.8052500000003</v>
      </c>
    </row>
    <row r="970" spans="1:8" x14ac:dyDescent="0.35">
      <c r="A970" s="11">
        <v>40933</v>
      </c>
      <c r="B970" s="12">
        <v>2837</v>
      </c>
      <c r="C970" s="13" t="s">
        <v>26</v>
      </c>
      <c r="D970" s="13" t="s">
        <v>34</v>
      </c>
      <c r="E970" s="13" t="s">
        <v>29</v>
      </c>
      <c r="F970" s="13">
        <v>8</v>
      </c>
      <c r="G970" s="13">
        <v>2988</v>
      </c>
      <c r="H970" s="13">
        <v>1167.4115999999999</v>
      </c>
    </row>
    <row r="971" spans="1:8" x14ac:dyDescent="0.35">
      <c r="A971" s="11">
        <v>40934</v>
      </c>
      <c r="B971" s="12">
        <v>2473</v>
      </c>
      <c r="C971" s="13" t="s">
        <v>23</v>
      </c>
      <c r="D971" s="13" t="s">
        <v>34</v>
      </c>
      <c r="E971" s="13" t="s">
        <v>28</v>
      </c>
      <c r="F971" s="13">
        <v>7</v>
      </c>
      <c r="G971" s="13">
        <v>4830</v>
      </c>
      <c r="H971" s="13">
        <v>3731.1750000000002</v>
      </c>
    </row>
    <row r="972" spans="1:8" x14ac:dyDescent="0.35">
      <c r="A972" s="11">
        <v>40935</v>
      </c>
      <c r="B972" s="12">
        <v>2838</v>
      </c>
      <c r="C972" s="13" t="s">
        <v>27</v>
      </c>
      <c r="D972" s="13" t="s">
        <v>34</v>
      </c>
      <c r="E972" s="13" t="s">
        <v>25</v>
      </c>
      <c r="F972" s="13">
        <v>8</v>
      </c>
      <c r="G972" s="13">
        <v>8760</v>
      </c>
      <c r="H972" s="13">
        <v>1515.8303999999998</v>
      </c>
    </row>
    <row r="973" spans="1:8" x14ac:dyDescent="0.35">
      <c r="A973" s="11">
        <v>40936</v>
      </c>
      <c r="B973" s="12">
        <v>2474</v>
      </c>
      <c r="C973" s="13" t="s">
        <v>26</v>
      </c>
      <c r="D973" s="13" t="s">
        <v>34</v>
      </c>
      <c r="E973" s="13" t="s">
        <v>28</v>
      </c>
      <c r="F973" s="13">
        <v>6</v>
      </c>
      <c r="G973" s="13">
        <v>1377</v>
      </c>
      <c r="H973" s="13">
        <v>533.31209999999987</v>
      </c>
    </row>
    <row r="974" spans="1:8" x14ac:dyDescent="0.35">
      <c r="A974" s="11">
        <v>40937</v>
      </c>
      <c r="B974" s="12">
        <v>2839</v>
      </c>
      <c r="C974" s="13" t="s">
        <v>23</v>
      </c>
      <c r="D974" s="13" t="s">
        <v>34</v>
      </c>
      <c r="E974" s="13" t="s">
        <v>25</v>
      </c>
      <c r="F974" s="13">
        <v>8</v>
      </c>
      <c r="G974" s="13">
        <v>10704</v>
      </c>
      <c r="H974" s="13">
        <v>1048.1891999999998</v>
      </c>
    </row>
    <row r="975" spans="1:8" x14ac:dyDescent="0.35">
      <c r="A975" s="11">
        <v>40938</v>
      </c>
      <c r="B975" s="12">
        <v>2475</v>
      </c>
      <c r="C975" s="13" t="s">
        <v>27</v>
      </c>
      <c r="D975" s="13" t="s">
        <v>34</v>
      </c>
      <c r="E975" s="13" t="s">
        <v>29</v>
      </c>
      <c r="F975" s="13">
        <v>7</v>
      </c>
      <c r="G975" s="13">
        <v>4830</v>
      </c>
      <c r="H975" s="13">
        <v>3560.6760000000004</v>
      </c>
    </row>
    <row r="976" spans="1:8" x14ac:dyDescent="0.35">
      <c r="A976" s="11">
        <v>40939</v>
      </c>
      <c r="B976" s="12">
        <v>2840</v>
      </c>
      <c r="C976" s="13" t="s">
        <v>26</v>
      </c>
      <c r="D976" s="13" t="s">
        <v>34</v>
      </c>
      <c r="E976" s="13" t="s">
        <v>25</v>
      </c>
      <c r="F976" s="13">
        <v>9</v>
      </c>
      <c r="G976" s="13">
        <v>2268</v>
      </c>
      <c r="H976" s="13">
        <v>990.20879999999988</v>
      </c>
    </row>
    <row r="977" spans="1:8" x14ac:dyDescent="0.35">
      <c r="A977" s="11">
        <v>40940</v>
      </c>
      <c r="B977" s="12">
        <v>2476</v>
      </c>
      <c r="C977" s="13" t="s">
        <v>23</v>
      </c>
      <c r="D977" s="13" t="s">
        <v>34</v>
      </c>
      <c r="E977" s="13" t="s">
        <v>29</v>
      </c>
      <c r="F977" s="13">
        <v>8</v>
      </c>
      <c r="G977" s="13">
        <v>4656</v>
      </c>
      <c r="H977" s="13">
        <v>4615.26</v>
      </c>
    </row>
    <row r="978" spans="1:8" x14ac:dyDescent="0.35">
      <c r="A978" s="11">
        <v>40941</v>
      </c>
      <c r="B978" s="12">
        <v>2841</v>
      </c>
      <c r="C978" s="13" t="s">
        <v>27</v>
      </c>
      <c r="D978" s="13" t="s">
        <v>34</v>
      </c>
      <c r="E978" s="13" t="s">
        <v>28</v>
      </c>
      <c r="F978" s="13">
        <v>6</v>
      </c>
      <c r="G978" s="13">
        <v>3510</v>
      </c>
      <c r="H978" s="13">
        <v>591.2595</v>
      </c>
    </row>
    <row r="979" spans="1:8" x14ac:dyDescent="0.35">
      <c r="A979" s="11">
        <v>40942</v>
      </c>
      <c r="B979" s="12">
        <v>2477</v>
      </c>
      <c r="C979" s="13" t="s">
        <v>26</v>
      </c>
      <c r="D979" s="13" t="s">
        <v>34</v>
      </c>
      <c r="E979" s="13" t="s">
        <v>29</v>
      </c>
      <c r="F979" s="13">
        <v>10</v>
      </c>
      <c r="G979" s="13">
        <v>6060</v>
      </c>
      <c r="H979" s="13">
        <v>601.75800000000004</v>
      </c>
    </row>
    <row r="980" spans="1:8" x14ac:dyDescent="0.35">
      <c r="A980" s="11">
        <v>40943</v>
      </c>
      <c r="B980" s="12">
        <v>2842</v>
      </c>
      <c r="C980" s="13" t="s">
        <v>23</v>
      </c>
      <c r="D980" s="13" t="s">
        <v>34</v>
      </c>
      <c r="E980" s="13" t="s">
        <v>28</v>
      </c>
      <c r="F980" s="13">
        <v>10</v>
      </c>
      <c r="G980" s="13">
        <v>2100</v>
      </c>
      <c r="H980" s="13">
        <v>2436.84</v>
      </c>
    </row>
    <row r="981" spans="1:8" x14ac:dyDescent="0.35">
      <c r="A981" s="11">
        <v>40944</v>
      </c>
      <c r="B981" s="12">
        <v>2478</v>
      </c>
      <c r="C981" s="13" t="s">
        <v>27</v>
      </c>
      <c r="D981" s="13" t="s">
        <v>34</v>
      </c>
      <c r="E981" s="13" t="s">
        <v>25</v>
      </c>
      <c r="F981" s="13">
        <v>6</v>
      </c>
      <c r="G981" s="13">
        <v>4302</v>
      </c>
      <c r="H981" s="13">
        <v>921.27329999999995</v>
      </c>
    </row>
    <row r="982" spans="1:8" x14ac:dyDescent="0.35">
      <c r="A982" s="11">
        <v>40945</v>
      </c>
      <c r="B982" s="12">
        <v>2843</v>
      </c>
      <c r="C982" s="13" t="s">
        <v>26</v>
      </c>
      <c r="D982" s="13" t="s">
        <v>34</v>
      </c>
      <c r="E982" s="13" t="s">
        <v>28</v>
      </c>
      <c r="F982" s="13">
        <v>6</v>
      </c>
      <c r="G982" s="13">
        <v>4950</v>
      </c>
      <c r="H982" s="13">
        <v>3771.9</v>
      </c>
    </row>
    <row r="983" spans="1:8" x14ac:dyDescent="0.35">
      <c r="A983" s="11">
        <v>40946</v>
      </c>
      <c r="B983" s="12">
        <v>2479</v>
      </c>
      <c r="C983" s="13" t="s">
        <v>23</v>
      </c>
      <c r="D983" s="13" t="s">
        <v>34</v>
      </c>
      <c r="E983" s="13" t="s">
        <v>25</v>
      </c>
      <c r="F983" s="13">
        <v>9</v>
      </c>
      <c r="G983" s="13">
        <v>8586</v>
      </c>
      <c r="H983" s="13">
        <v>6004.4759999999997</v>
      </c>
    </row>
    <row r="984" spans="1:8" x14ac:dyDescent="0.35">
      <c r="A984" s="11">
        <v>40947</v>
      </c>
      <c r="B984" s="12">
        <v>2844</v>
      </c>
      <c r="C984" s="13" t="s">
        <v>27</v>
      </c>
      <c r="D984" s="13" t="s">
        <v>34</v>
      </c>
      <c r="E984" s="13" t="s">
        <v>29</v>
      </c>
      <c r="F984" s="13">
        <v>8</v>
      </c>
      <c r="G984" s="13">
        <v>4176</v>
      </c>
      <c r="H984" s="13">
        <v>2659.6943999999994</v>
      </c>
    </row>
    <row r="985" spans="1:8" x14ac:dyDescent="0.35">
      <c r="A985" s="11">
        <v>40948</v>
      </c>
      <c r="B985" s="12">
        <v>2480</v>
      </c>
      <c r="C985" s="13" t="s">
        <v>26</v>
      </c>
      <c r="D985" s="13" t="s">
        <v>34</v>
      </c>
      <c r="E985" s="13" t="s">
        <v>25</v>
      </c>
      <c r="F985" s="13">
        <v>7</v>
      </c>
      <c r="G985" s="13">
        <v>6615</v>
      </c>
      <c r="H985" s="13">
        <v>1713.1196250000003</v>
      </c>
    </row>
    <row r="986" spans="1:8" x14ac:dyDescent="0.35">
      <c r="A986" s="11">
        <v>40949</v>
      </c>
      <c r="B986" s="12">
        <v>2845</v>
      </c>
      <c r="C986" s="13" t="s">
        <v>23</v>
      </c>
      <c r="D986" s="13" t="s">
        <v>34</v>
      </c>
      <c r="E986" s="13" t="s">
        <v>29</v>
      </c>
      <c r="F986" s="13">
        <v>8</v>
      </c>
      <c r="G986" s="13">
        <v>7668</v>
      </c>
      <c r="H986" s="13">
        <v>3251.9987999999994</v>
      </c>
    </row>
    <row r="987" spans="1:8" x14ac:dyDescent="0.35">
      <c r="A987" s="11">
        <v>40950</v>
      </c>
      <c r="B987" s="12">
        <v>2481</v>
      </c>
      <c r="C987" s="13" t="s">
        <v>27</v>
      </c>
      <c r="D987" s="13" t="s">
        <v>34</v>
      </c>
      <c r="E987" s="13" t="s">
        <v>28</v>
      </c>
      <c r="F987" s="13">
        <v>9</v>
      </c>
      <c r="G987" s="13">
        <v>4887</v>
      </c>
      <c r="H987" s="13">
        <v>3844.8472500000003</v>
      </c>
    </row>
    <row r="988" spans="1:8" x14ac:dyDescent="0.35">
      <c r="A988" s="11">
        <v>40951</v>
      </c>
      <c r="B988" s="12">
        <v>2846</v>
      </c>
      <c r="C988" s="13" t="s">
        <v>26</v>
      </c>
      <c r="D988" s="13" t="s">
        <v>34</v>
      </c>
      <c r="E988" s="13" t="s">
        <v>29</v>
      </c>
      <c r="F988" s="13">
        <v>9</v>
      </c>
      <c r="G988" s="13">
        <v>3753</v>
      </c>
      <c r="H988" s="13">
        <v>780.24869999999999</v>
      </c>
    </row>
    <row r="989" spans="1:8" x14ac:dyDescent="0.35">
      <c r="A989" s="11">
        <v>40952</v>
      </c>
      <c r="B989" s="12">
        <v>2482</v>
      </c>
      <c r="C989" s="13" t="s">
        <v>23</v>
      </c>
      <c r="D989" s="13" t="s">
        <v>34</v>
      </c>
      <c r="E989" s="13" t="s">
        <v>28</v>
      </c>
      <c r="F989" s="13">
        <v>9</v>
      </c>
      <c r="G989" s="13">
        <v>3861</v>
      </c>
      <c r="H989" s="13">
        <v>3315.6337500000009</v>
      </c>
    </row>
    <row r="990" spans="1:8" x14ac:dyDescent="0.35">
      <c r="A990" s="11">
        <v>40953</v>
      </c>
      <c r="B990" s="12">
        <v>2847</v>
      </c>
      <c r="C990" s="13" t="s">
        <v>27</v>
      </c>
      <c r="D990" s="13" t="s">
        <v>34</v>
      </c>
      <c r="E990" s="13" t="s">
        <v>25</v>
      </c>
      <c r="F990" s="13">
        <v>9</v>
      </c>
      <c r="G990" s="13">
        <v>9247.5</v>
      </c>
      <c r="H990" s="13">
        <v>751.63679999999999</v>
      </c>
    </row>
    <row r="991" spans="1:8" x14ac:dyDescent="0.35">
      <c r="A991" s="11">
        <v>40954</v>
      </c>
      <c r="B991" s="12">
        <v>2483</v>
      </c>
      <c r="C991" s="13" t="s">
        <v>26</v>
      </c>
      <c r="D991" s="13" t="s">
        <v>34</v>
      </c>
      <c r="E991" s="13" t="s">
        <v>28</v>
      </c>
      <c r="F991" s="13">
        <v>8</v>
      </c>
      <c r="G991" s="13">
        <v>8424</v>
      </c>
      <c r="H991" s="13">
        <v>1465.7759999999998</v>
      </c>
    </row>
    <row r="992" spans="1:8" x14ac:dyDescent="0.35">
      <c r="A992" s="11">
        <v>40955</v>
      </c>
      <c r="B992" s="12">
        <v>2848</v>
      </c>
      <c r="C992" s="13" t="s">
        <v>23</v>
      </c>
      <c r="D992" s="13" t="s">
        <v>34</v>
      </c>
      <c r="E992" s="13" t="s">
        <v>25</v>
      </c>
      <c r="F992" s="13">
        <v>7</v>
      </c>
      <c r="G992" s="13">
        <v>4158</v>
      </c>
      <c r="H992" s="13">
        <v>3411.6390000000001</v>
      </c>
    </row>
    <row r="993" spans="1:8" x14ac:dyDescent="0.35">
      <c r="A993" s="11">
        <v>40956</v>
      </c>
      <c r="B993" s="12">
        <v>2484</v>
      </c>
      <c r="C993" s="13" t="s">
        <v>27</v>
      </c>
      <c r="D993" s="13" t="s">
        <v>34</v>
      </c>
      <c r="E993" s="13" t="s">
        <v>29</v>
      </c>
      <c r="F993" s="13">
        <v>9</v>
      </c>
      <c r="G993" s="13">
        <v>4212</v>
      </c>
      <c r="H993" s="13">
        <v>2482.9740000000002</v>
      </c>
    </row>
    <row r="994" spans="1:8" x14ac:dyDescent="0.35">
      <c r="A994" s="11">
        <v>40957</v>
      </c>
      <c r="B994" s="12">
        <v>2849</v>
      </c>
      <c r="C994" s="13" t="s">
        <v>26</v>
      </c>
      <c r="D994" s="13" t="s">
        <v>34</v>
      </c>
      <c r="E994" s="13" t="s">
        <v>25</v>
      </c>
      <c r="F994" s="13">
        <v>8</v>
      </c>
      <c r="G994" s="13">
        <v>8820</v>
      </c>
      <c r="H994" s="13">
        <v>1235.1528000000001</v>
      </c>
    </row>
    <row r="995" spans="1:8" x14ac:dyDescent="0.35">
      <c r="A995" s="11">
        <v>40958</v>
      </c>
      <c r="B995" s="12">
        <v>2485</v>
      </c>
      <c r="C995" s="13" t="s">
        <v>23</v>
      </c>
      <c r="D995" s="13" t="s">
        <v>34</v>
      </c>
      <c r="E995" s="13" t="s">
        <v>29</v>
      </c>
      <c r="F995" s="13">
        <v>8</v>
      </c>
      <c r="G995" s="13">
        <v>2040</v>
      </c>
      <c r="H995" s="13">
        <v>793.35599999999999</v>
      </c>
    </row>
    <row r="996" spans="1:8" x14ac:dyDescent="0.35">
      <c r="A996" s="11">
        <v>40959</v>
      </c>
      <c r="B996" s="12">
        <v>2850</v>
      </c>
      <c r="C996" s="13" t="s">
        <v>27</v>
      </c>
      <c r="D996" s="13" t="s">
        <v>34</v>
      </c>
      <c r="E996" s="13" t="s">
        <v>28</v>
      </c>
      <c r="F996" s="13">
        <v>8</v>
      </c>
      <c r="G996" s="13">
        <v>7152</v>
      </c>
      <c r="H996" s="13">
        <v>774.91920000000005</v>
      </c>
    </row>
    <row r="997" spans="1:8" x14ac:dyDescent="0.35">
      <c r="A997" s="11">
        <v>40960</v>
      </c>
      <c r="B997" s="12">
        <v>2486</v>
      </c>
      <c r="C997" s="13" t="s">
        <v>26</v>
      </c>
      <c r="D997" s="13" t="s">
        <v>34</v>
      </c>
      <c r="E997" s="13" t="s">
        <v>29</v>
      </c>
      <c r="F997" s="13">
        <v>6</v>
      </c>
      <c r="G997" s="13">
        <v>4734</v>
      </c>
      <c r="H997" s="13">
        <v>3942.4751999999999</v>
      </c>
    </row>
    <row r="998" spans="1:8" x14ac:dyDescent="0.35">
      <c r="A998" s="11">
        <v>40961</v>
      </c>
      <c r="B998" s="12">
        <v>2851</v>
      </c>
      <c r="C998" s="13" t="s">
        <v>23</v>
      </c>
      <c r="D998" s="13" t="s">
        <v>34</v>
      </c>
      <c r="E998" s="13" t="s">
        <v>28</v>
      </c>
      <c r="F998" s="13">
        <v>8</v>
      </c>
      <c r="G998" s="13">
        <v>11376</v>
      </c>
      <c r="H998" s="13">
        <v>3846.2255999999998</v>
      </c>
    </row>
    <row r="999" spans="1:8" x14ac:dyDescent="0.35">
      <c r="A999" s="11">
        <v>40962</v>
      </c>
      <c r="B999" s="12">
        <v>2487</v>
      </c>
      <c r="C999" s="13" t="s">
        <v>27</v>
      </c>
      <c r="D999" s="13" t="s">
        <v>34</v>
      </c>
      <c r="E999" s="13" t="s">
        <v>25</v>
      </c>
      <c r="F999" s="13">
        <v>9</v>
      </c>
      <c r="G999" s="13">
        <v>2173.5</v>
      </c>
      <c r="H999" s="13">
        <v>1726.1937000000003</v>
      </c>
    </row>
    <row r="1000" spans="1:8" x14ac:dyDescent="0.35">
      <c r="A1000" s="11">
        <v>40963</v>
      </c>
      <c r="B1000" s="12">
        <v>2852</v>
      </c>
      <c r="C1000" s="13" t="s">
        <v>26</v>
      </c>
      <c r="D1000" s="13" t="s">
        <v>34</v>
      </c>
      <c r="E1000" s="13" t="s">
        <v>28</v>
      </c>
      <c r="F1000" s="13">
        <v>9</v>
      </c>
      <c r="G1000" s="13">
        <v>8073</v>
      </c>
      <c r="H1000" s="13">
        <v>2109.7440000000001</v>
      </c>
    </row>
    <row r="1001" spans="1:8" x14ac:dyDescent="0.35">
      <c r="A1001" s="11">
        <v>40964</v>
      </c>
      <c r="B1001" s="12">
        <v>2488</v>
      </c>
      <c r="C1001" s="13" t="s">
        <v>23</v>
      </c>
      <c r="D1001" s="13" t="s">
        <v>34</v>
      </c>
      <c r="E1001" s="13" t="s">
        <v>25</v>
      </c>
      <c r="F1001" s="13">
        <v>9</v>
      </c>
      <c r="G1001" s="13">
        <v>7020</v>
      </c>
      <c r="H1001" s="13">
        <v>3148.47</v>
      </c>
    </row>
    <row r="1002" spans="1:8" x14ac:dyDescent="0.35">
      <c r="A1002" s="11">
        <v>40965</v>
      </c>
      <c r="B1002" s="12">
        <v>2853</v>
      </c>
      <c r="C1002" s="13" t="s">
        <v>27</v>
      </c>
      <c r="D1002" s="13" t="s">
        <v>34</v>
      </c>
      <c r="E1002" s="13" t="s">
        <v>29</v>
      </c>
      <c r="F1002" s="13">
        <v>7</v>
      </c>
      <c r="G1002" s="13">
        <v>5103</v>
      </c>
      <c r="H1002" s="13">
        <v>715.4405999999999</v>
      </c>
    </row>
    <row r="1003" spans="1:8" x14ac:dyDescent="0.35">
      <c r="A1003" s="11">
        <v>40966</v>
      </c>
      <c r="B1003" s="12">
        <v>2489</v>
      </c>
      <c r="C1003" s="13" t="s">
        <v>26</v>
      </c>
      <c r="D1003" s="13" t="s">
        <v>34</v>
      </c>
      <c r="E1003" s="13" t="s">
        <v>25</v>
      </c>
      <c r="F1003" s="13">
        <v>8</v>
      </c>
      <c r="G1003" s="13">
        <v>7800</v>
      </c>
      <c r="H1003" s="13">
        <v>487.5</v>
      </c>
    </row>
    <row r="1004" spans="1:8" x14ac:dyDescent="0.35">
      <c r="A1004" s="11">
        <v>40967</v>
      </c>
      <c r="B1004" s="12">
        <v>2854</v>
      </c>
      <c r="C1004" s="13" t="s">
        <v>23</v>
      </c>
      <c r="D1004" s="13" t="s">
        <v>34</v>
      </c>
      <c r="E1004" s="13" t="s">
        <v>29</v>
      </c>
      <c r="F1004" s="13">
        <v>9</v>
      </c>
      <c r="G1004" s="13">
        <v>7533</v>
      </c>
      <c r="H1004" s="13">
        <v>1518.6528000000001</v>
      </c>
    </row>
    <row r="1005" spans="1:8" x14ac:dyDescent="0.35">
      <c r="A1005" s="11">
        <v>40969</v>
      </c>
      <c r="B1005" s="12">
        <v>2490</v>
      </c>
      <c r="C1005" s="13" t="s">
        <v>27</v>
      </c>
      <c r="D1005" s="13" t="s">
        <v>34</v>
      </c>
      <c r="E1005" s="13" t="s">
        <v>28</v>
      </c>
      <c r="F1005" s="13">
        <v>8</v>
      </c>
      <c r="G1005" s="13">
        <v>13020</v>
      </c>
      <c r="H1005" s="13">
        <v>898.37999999999988</v>
      </c>
    </row>
    <row r="1006" spans="1:8" x14ac:dyDescent="0.35">
      <c r="A1006" s="11">
        <v>40970</v>
      </c>
      <c r="B1006" s="12">
        <v>2855</v>
      </c>
      <c r="C1006" s="13" t="s">
        <v>26</v>
      </c>
      <c r="D1006" s="13" t="s">
        <v>34</v>
      </c>
      <c r="E1006" s="13" t="s">
        <v>29</v>
      </c>
      <c r="F1006" s="13">
        <v>6</v>
      </c>
      <c r="G1006" s="13">
        <v>11520</v>
      </c>
      <c r="H1006" s="13">
        <v>3578.5727999999995</v>
      </c>
    </row>
    <row r="1007" spans="1:8" x14ac:dyDescent="0.35">
      <c r="A1007" s="11">
        <v>40971</v>
      </c>
      <c r="B1007" s="12">
        <v>2491</v>
      </c>
      <c r="C1007" s="13" t="s">
        <v>23</v>
      </c>
      <c r="D1007" s="13" t="s">
        <v>34</v>
      </c>
      <c r="E1007" s="13" t="s">
        <v>28</v>
      </c>
      <c r="F1007" s="13">
        <v>7</v>
      </c>
      <c r="G1007" s="13">
        <v>8400</v>
      </c>
      <c r="H1007" s="13">
        <v>2535.96</v>
      </c>
    </row>
    <row r="1008" spans="1:8" x14ac:dyDescent="0.35">
      <c r="A1008" s="11">
        <v>40972</v>
      </c>
      <c r="B1008" s="12">
        <v>2856</v>
      </c>
      <c r="C1008" s="13" t="s">
        <v>27</v>
      </c>
      <c r="D1008" s="13" t="s">
        <v>34</v>
      </c>
      <c r="E1008" s="13" t="s">
        <v>25</v>
      </c>
      <c r="F1008" s="13">
        <v>8</v>
      </c>
      <c r="G1008" s="13">
        <v>3960</v>
      </c>
      <c r="H1008" s="13">
        <v>712.99800000000005</v>
      </c>
    </row>
    <row r="1009" spans="1:8" x14ac:dyDescent="0.35">
      <c r="A1009" s="11">
        <v>40973</v>
      </c>
      <c r="B1009" s="12">
        <v>2492</v>
      </c>
      <c r="C1009" s="13" t="s">
        <v>26</v>
      </c>
      <c r="D1009" s="13" t="s">
        <v>34</v>
      </c>
      <c r="E1009" s="13" t="s">
        <v>28</v>
      </c>
      <c r="F1009" s="13">
        <v>10</v>
      </c>
      <c r="G1009" s="13">
        <v>13300</v>
      </c>
      <c r="H1009" s="13">
        <v>1908.816</v>
      </c>
    </row>
    <row r="1010" spans="1:8" x14ac:dyDescent="0.35">
      <c r="A1010" s="11">
        <v>41339</v>
      </c>
      <c r="B1010" s="12">
        <v>2857</v>
      </c>
      <c r="C1010" s="13" t="s">
        <v>23</v>
      </c>
      <c r="D1010" s="13" t="s">
        <v>34</v>
      </c>
      <c r="E1010" s="13" t="s">
        <v>25</v>
      </c>
      <c r="F1010" s="13">
        <v>6</v>
      </c>
      <c r="G1010" s="13">
        <v>8820</v>
      </c>
      <c r="H1010" s="13">
        <v>2288.2607999999996</v>
      </c>
    </row>
    <row r="1011" spans="1:8" x14ac:dyDescent="0.35">
      <c r="A1011" s="11">
        <v>41340</v>
      </c>
      <c r="B1011" s="12">
        <v>2493</v>
      </c>
      <c r="C1011" s="13" t="s">
        <v>27</v>
      </c>
      <c r="D1011" s="13" t="s">
        <v>34</v>
      </c>
      <c r="E1011" s="13" t="s">
        <v>29</v>
      </c>
      <c r="F1011" s="13">
        <v>6</v>
      </c>
      <c r="G1011" s="13">
        <v>6624</v>
      </c>
      <c r="H1011" s="13">
        <v>2715.84</v>
      </c>
    </row>
    <row r="1012" spans="1:8" x14ac:dyDescent="0.35">
      <c r="A1012" s="11">
        <v>41341</v>
      </c>
      <c r="B1012" s="12">
        <v>2858</v>
      </c>
      <c r="C1012" s="13" t="s">
        <v>26</v>
      </c>
      <c r="D1012" s="13" t="s">
        <v>34</v>
      </c>
      <c r="E1012" s="13" t="s">
        <v>25</v>
      </c>
      <c r="F1012" s="13">
        <v>6</v>
      </c>
      <c r="G1012" s="13">
        <v>12915</v>
      </c>
      <c r="H1012" s="13">
        <v>1046.1150000000002</v>
      </c>
    </row>
    <row r="1013" spans="1:8" x14ac:dyDescent="0.35">
      <c r="A1013" s="11">
        <v>41342</v>
      </c>
      <c r="B1013" s="12">
        <v>2494</v>
      </c>
      <c r="C1013" s="13" t="s">
        <v>23</v>
      </c>
      <c r="D1013" s="13" t="s">
        <v>34</v>
      </c>
      <c r="E1013" s="13" t="s">
        <v>29</v>
      </c>
      <c r="F1013" s="13">
        <v>9</v>
      </c>
      <c r="G1013" s="13">
        <v>2358</v>
      </c>
      <c r="H1013" s="13">
        <v>3220.0847999999996</v>
      </c>
    </row>
    <row r="1014" spans="1:8" x14ac:dyDescent="0.35">
      <c r="A1014" s="11">
        <v>41343</v>
      </c>
      <c r="B1014" s="12">
        <v>2859</v>
      </c>
      <c r="C1014" s="13" t="s">
        <v>27</v>
      </c>
      <c r="D1014" s="13" t="s">
        <v>34</v>
      </c>
      <c r="E1014" s="13" t="s">
        <v>28</v>
      </c>
      <c r="F1014" s="13">
        <v>8</v>
      </c>
      <c r="G1014" s="13">
        <v>2544</v>
      </c>
      <c r="H1014" s="13">
        <v>3075.1872000000003</v>
      </c>
    </row>
    <row r="1015" spans="1:8" x14ac:dyDescent="0.35">
      <c r="A1015" s="11">
        <v>41344</v>
      </c>
      <c r="B1015" s="12">
        <v>2495</v>
      </c>
      <c r="C1015" s="13" t="s">
        <v>26</v>
      </c>
      <c r="D1015" s="13" t="s">
        <v>34</v>
      </c>
      <c r="E1015" s="13" t="s">
        <v>29</v>
      </c>
      <c r="F1015" s="13">
        <v>6</v>
      </c>
      <c r="G1015" s="13">
        <v>9585</v>
      </c>
      <c r="H1015" s="13">
        <v>827.18550000000005</v>
      </c>
    </row>
    <row r="1016" spans="1:8" x14ac:dyDescent="0.35">
      <c r="A1016" s="11">
        <v>41345</v>
      </c>
      <c r="B1016" s="12">
        <v>2860</v>
      </c>
      <c r="C1016" s="13" t="s">
        <v>23</v>
      </c>
      <c r="D1016" s="13" t="s">
        <v>34</v>
      </c>
      <c r="E1016" s="13" t="s">
        <v>28</v>
      </c>
      <c r="F1016" s="13">
        <v>8</v>
      </c>
      <c r="G1016" s="13">
        <v>1668</v>
      </c>
      <c r="H1016" s="13">
        <v>3338.5019999999995</v>
      </c>
    </row>
    <row r="1017" spans="1:8" x14ac:dyDescent="0.35">
      <c r="A1017" s="11">
        <v>41346</v>
      </c>
      <c r="B1017" s="12">
        <v>2496</v>
      </c>
      <c r="C1017" s="13" t="s">
        <v>27</v>
      </c>
      <c r="D1017" s="13" t="s">
        <v>34</v>
      </c>
      <c r="E1017" s="13" t="s">
        <v>25</v>
      </c>
      <c r="F1017" s="13">
        <v>9</v>
      </c>
      <c r="G1017" s="13">
        <v>7398</v>
      </c>
      <c r="H1017" s="13">
        <v>729.62774999999999</v>
      </c>
    </row>
    <row r="1018" spans="1:8" x14ac:dyDescent="0.35">
      <c r="A1018" s="11">
        <v>41347</v>
      </c>
      <c r="B1018" s="12">
        <v>2861</v>
      </c>
      <c r="C1018" s="13" t="s">
        <v>26</v>
      </c>
      <c r="D1018" s="13" t="s">
        <v>34</v>
      </c>
      <c r="E1018" s="13" t="s">
        <v>28</v>
      </c>
      <c r="F1018" s="13">
        <v>8</v>
      </c>
      <c r="G1018" s="13">
        <v>7848</v>
      </c>
      <c r="H1018" s="13">
        <v>3290.6664000000001</v>
      </c>
    </row>
    <row r="1019" spans="1:8" x14ac:dyDescent="0.35">
      <c r="A1019" s="11">
        <v>41348</v>
      </c>
      <c r="B1019" s="12">
        <v>2497</v>
      </c>
      <c r="C1019" s="13" t="s">
        <v>23</v>
      </c>
      <c r="D1019" s="13" t="s">
        <v>34</v>
      </c>
      <c r="E1019" s="13" t="s">
        <v>25</v>
      </c>
      <c r="F1019" s="13">
        <v>7</v>
      </c>
      <c r="G1019" s="13">
        <v>2063.25</v>
      </c>
      <c r="H1019" s="13">
        <v>1351.8413999999998</v>
      </c>
    </row>
    <row r="1020" spans="1:8" x14ac:dyDescent="0.35">
      <c r="A1020" s="11">
        <v>41349</v>
      </c>
      <c r="B1020" s="12">
        <v>2862</v>
      </c>
      <c r="C1020" s="13" t="s">
        <v>27</v>
      </c>
      <c r="D1020" s="13" t="s">
        <v>34</v>
      </c>
      <c r="E1020" s="13" t="s">
        <v>29</v>
      </c>
      <c r="F1020" s="13">
        <v>8</v>
      </c>
      <c r="G1020" s="13">
        <v>8192</v>
      </c>
      <c r="H1020" s="13">
        <v>3385.7536</v>
      </c>
    </row>
    <row r="1021" spans="1:8" x14ac:dyDescent="0.35">
      <c r="A1021" s="11">
        <v>41350</v>
      </c>
      <c r="B1021" s="12">
        <v>2498</v>
      </c>
      <c r="C1021" s="13" t="s">
        <v>26</v>
      </c>
      <c r="D1021" s="13" t="s">
        <v>34</v>
      </c>
      <c r="E1021" s="13" t="s">
        <v>25</v>
      </c>
      <c r="F1021" s="13">
        <v>6</v>
      </c>
      <c r="G1021" s="13">
        <v>1764</v>
      </c>
      <c r="H1021" s="13">
        <v>2071.2888000000003</v>
      </c>
    </row>
    <row r="1022" spans="1:8" x14ac:dyDescent="0.35">
      <c r="A1022" s="11">
        <v>41351</v>
      </c>
      <c r="B1022" s="12">
        <v>2863</v>
      </c>
      <c r="C1022" s="13" t="s">
        <v>23</v>
      </c>
      <c r="D1022" s="13" t="s">
        <v>34</v>
      </c>
      <c r="E1022" s="13" t="s">
        <v>29</v>
      </c>
      <c r="F1022" s="13">
        <v>8</v>
      </c>
      <c r="G1022" s="13">
        <v>4224</v>
      </c>
      <c r="H1022" s="13">
        <v>3279.9360000000001</v>
      </c>
    </row>
    <row r="1023" spans="1:8" x14ac:dyDescent="0.35">
      <c r="A1023" s="11">
        <v>41352</v>
      </c>
      <c r="B1023" s="12">
        <v>2499</v>
      </c>
      <c r="C1023" s="13" t="s">
        <v>27</v>
      </c>
      <c r="D1023" s="13" t="s">
        <v>34</v>
      </c>
      <c r="E1023" s="13" t="s">
        <v>28</v>
      </c>
      <c r="F1023" s="13">
        <v>8</v>
      </c>
      <c r="G1023" s="13">
        <v>7776</v>
      </c>
      <c r="H1023" s="13">
        <v>1168.7327999999998</v>
      </c>
    </row>
    <row r="1024" spans="1:8" x14ac:dyDescent="0.35">
      <c r="A1024" s="11">
        <v>41353</v>
      </c>
      <c r="B1024" s="12">
        <v>2864</v>
      </c>
      <c r="C1024" s="13" t="s">
        <v>26</v>
      </c>
      <c r="D1024" s="13" t="s">
        <v>34</v>
      </c>
      <c r="E1024" s="13" t="s">
        <v>29</v>
      </c>
      <c r="F1024" s="13">
        <v>7</v>
      </c>
      <c r="G1024" s="13">
        <v>7938</v>
      </c>
      <c r="H1024" s="13">
        <v>887.26994999999988</v>
      </c>
    </row>
    <row r="1025" spans="1:8" x14ac:dyDescent="0.35">
      <c r="A1025" s="11">
        <v>41354</v>
      </c>
      <c r="B1025" s="12">
        <v>2500</v>
      </c>
      <c r="C1025" s="13" t="s">
        <v>23</v>
      </c>
      <c r="D1025" s="13" t="s">
        <v>34</v>
      </c>
      <c r="E1025" s="13" t="s">
        <v>28</v>
      </c>
      <c r="F1025" s="13">
        <v>8</v>
      </c>
      <c r="G1025" s="13">
        <v>3696</v>
      </c>
      <c r="H1025" s="13">
        <v>1456.2240000000002</v>
      </c>
    </row>
    <row r="1026" spans="1:8" x14ac:dyDescent="0.35">
      <c r="A1026" s="11">
        <v>41355</v>
      </c>
      <c r="B1026" s="12">
        <v>2865</v>
      </c>
      <c r="C1026" s="13" t="s">
        <v>27</v>
      </c>
      <c r="D1026" s="13" t="s">
        <v>34</v>
      </c>
      <c r="E1026" s="13" t="s">
        <v>25</v>
      </c>
      <c r="F1026" s="13">
        <v>9</v>
      </c>
      <c r="G1026" s="13">
        <v>7398</v>
      </c>
      <c r="H1026" s="13">
        <v>3510.5976000000001</v>
      </c>
    </row>
    <row r="1027" spans="1:8" x14ac:dyDescent="0.35">
      <c r="A1027" s="11">
        <v>41356</v>
      </c>
      <c r="B1027" s="12">
        <v>2501</v>
      </c>
      <c r="C1027" s="13" t="s">
        <v>26</v>
      </c>
      <c r="D1027" s="13" t="s">
        <v>34</v>
      </c>
      <c r="E1027" s="13" t="s">
        <v>28</v>
      </c>
      <c r="F1027" s="13">
        <v>9</v>
      </c>
      <c r="G1027" s="13">
        <v>14377.5</v>
      </c>
      <c r="H1027" s="13">
        <v>4574.9204999999993</v>
      </c>
    </row>
    <row r="1028" spans="1:8" x14ac:dyDescent="0.35">
      <c r="A1028" s="11">
        <v>41357</v>
      </c>
      <c r="B1028" s="12">
        <v>2866</v>
      </c>
      <c r="C1028" s="13" t="s">
        <v>23</v>
      </c>
      <c r="D1028" s="13" t="s">
        <v>34</v>
      </c>
      <c r="E1028" s="13" t="s">
        <v>25</v>
      </c>
      <c r="F1028" s="13">
        <v>9</v>
      </c>
      <c r="G1028" s="13">
        <v>4770</v>
      </c>
      <c r="H1028" s="13">
        <v>1554.0659999999998</v>
      </c>
    </row>
    <row r="1029" spans="1:8" x14ac:dyDescent="0.35">
      <c r="A1029" s="11">
        <v>41358</v>
      </c>
      <c r="B1029" s="12">
        <v>2502</v>
      </c>
      <c r="C1029" s="13" t="s">
        <v>27</v>
      </c>
      <c r="D1029" s="13" t="s">
        <v>34</v>
      </c>
      <c r="E1029" s="13" t="s">
        <v>29</v>
      </c>
      <c r="F1029" s="13">
        <v>10</v>
      </c>
      <c r="G1029" s="13">
        <v>11400</v>
      </c>
      <c r="H1029" s="13">
        <v>3393.5519999999997</v>
      </c>
    </row>
    <row r="1030" spans="1:8" x14ac:dyDescent="0.35">
      <c r="A1030" s="11">
        <v>41359</v>
      </c>
      <c r="B1030" s="12">
        <v>2867</v>
      </c>
      <c r="C1030" s="13" t="s">
        <v>26</v>
      </c>
      <c r="D1030" s="13" t="s">
        <v>34</v>
      </c>
      <c r="E1030" s="13" t="s">
        <v>25</v>
      </c>
      <c r="F1030" s="13">
        <v>7</v>
      </c>
      <c r="G1030" s="13">
        <v>10962</v>
      </c>
      <c r="H1030" s="13">
        <v>936.7029</v>
      </c>
    </row>
    <row r="1031" spans="1:8" x14ac:dyDescent="0.35">
      <c r="A1031" s="11">
        <v>41360</v>
      </c>
      <c r="B1031" s="12">
        <v>2503</v>
      </c>
      <c r="C1031" s="13" t="s">
        <v>23</v>
      </c>
      <c r="D1031" s="13" t="s">
        <v>34</v>
      </c>
      <c r="E1031" s="13" t="s">
        <v>29</v>
      </c>
      <c r="F1031" s="13">
        <v>10</v>
      </c>
      <c r="G1031" s="13">
        <v>3870</v>
      </c>
      <c r="H1031" s="13">
        <v>3277.116</v>
      </c>
    </row>
    <row r="1032" spans="1:8" x14ac:dyDescent="0.35">
      <c r="A1032" s="11">
        <v>41361</v>
      </c>
      <c r="B1032" s="12">
        <v>2868</v>
      </c>
      <c r="C1032" s="13" t="s">
        <v>27</v>
      </c>
      <c r="D1032" s="13" t="s">
        <v>34</v>
      </c>
      <c r="E1032" s="13" t="s">
        <v>28</v>
      </c>
      <c r="F1032" s="13">
        <v>6</v>
      </c>
      <c r="G1032" s="13">
        <v>2520</v>
      </c>
      <c r="H1032" s="13">
        <v>2804.7599999999998</v>
      </c>
    </row>
    <row r="1033" spans="1:8" x14ac:dyDescent="0.35">
      <c r="A1033" s="11">
        <v>41362</v>
      </c>
      <c r="B1033" s="12">
        <v>2504</v>
      </c>
      <c r="C1033" s="13" t="s">
        <v>26</v>
      </c>
      <c r="D1033" s="13" t="s">
        <v>34</v>
      </c>
      <c r="E1033" s="13" t="s">
        <v>29</v>
      </c>
      <c r="F1033" s="13">
        <v>8</v>
      </c>
      <c r="G1033" s="13">
        <v>4248</v>
      </c>
      <c r="H1033" s="13">
        <v>4709.9699999999993</v>
      </c>
    </row>
    <row r="1034" spans="1:8" x14ac:dyDescent="0.35">
      <c r="A1034" s="11">
        <v>41363</v>
      </c>
      <c r="B1034" s="12">
        <v>2869</v>
      </c>
      <c r="C1034" s="13" t="s">
        <v>23</v>
      </c>
      <c r="D1034" s="13" t="s">
        <v>34</v>
      </c>
      <c r="E1034" s="13" t="s">
        <v>28</v>
      </c>
      <c r="F1034" s="13">
        <v>9</v>
      </c>
      <c r="G1034" s="13">
        <v>8640</v>
      </c>
      <c r="H1034" s="13">
        <v>1875.3119999999999</v>
      </c>
    </row>
    <row r="1035" spans="1:8" x14ac:dyDescent="0.35">
      <c r="A1035" s="11">
        <v>41364</v>
      </c>
      <c r="B1035" s="12">
        <v>2505</v>
      </c>
      <c r="C1035" s="13" t="s">
        <v>27</v>
      </c>
      <c r="D1035" s="13" t="s">
        <v>34</v>
      </c>
      <c r="E1035" s="13" t="s">
        <v>25</v>
      </c>
      <c r="F1035" s="13">
        <v>10</v>
      </c>
      <c r="G1035" s="13">
        <v>10240</v>
      </c>
      <c r="H1035" s="13">
        <v>3927.04</v>
      </c>
    </row>
    <row r="1036" spans="1:8" x14ac:dyDescent="0.35">
      <c r="A1036" s="11">
        <v>41365</v>
      </c>
      <c r="B1036" s="12">
        <v>2870</v>
      </c>
      <c r="C1036" s="13" t="s">
        <v>26</v>
      </c>
      <c r="D1036" s="13" t="s">
        <v>34</v>
      </c>
      <c r="E1036" s="13" t="s">
        <v>28</v>
      </c>
      <c r="F1036" s="13">
        <v>10</v>
      </c>
      <c r="G1036" s="13">
        <v>8640</v>
      </c>
      <c r="H1036" s="13">
        <v>2881.0079999999998</v>
      </c>
    </row>
    <row r="1037" spans="1:8" x14ac:dyDescent="0.35">
      <c r="A1037" s="11">
        <v>41366</v>
      </c>
      <c r="B1037" s="12">
        <v>2506</v>
      </c>
      <c r="C1037" s="13" t="s">
        <v>23</v>
      </c>
      <c r="D1037" s="13" t="s">
        <v>34</v>
      </c>
      <c r="E1037" s="13" t="s">
        <v>25</v>
      </c>
      <c r="F1037" s="13">
        <v>10</v>
      </c>
      <c r="G1037" s="13">
        <v>2340</v>
      </c>
      <c r="H1037" s="13">
        <v>3684.33</v>
      </c>
    </row>
    <row r="1038" spans="1:8" x14ac:dyDescent="0.35">
      <c r="A1038" s="11">
        <v>41367</v>
      </c>
      <c r="B1038" s="12">
        <v>2871</v>
      </c>
      <c r="C1038" s="13" t="s">
        <v>27</v>
      </c>
      <c r="D1038" s="13" t="s">
        <v>34</v>
      </c>
      <c r="E1038" s="13" t="s">
        <v>29</v>
      </c>
      <c r="F1038" s="13">
        <v>6</v>
      </c>
      <c r="G1038" s="13">
        <v>11070</v>
      </c>
      <c r="H1038" s="13">
        <v>2114.8128000000002</v>
      </c>
    </row>
    <row r="1039" spans="1:8" x14ac:dyDescent="0.35">
      <c r="A1039" s="11">
        <v>41368</v>
      </c>
      <c r="B1039" s="12">
        <v>2507</v>
      </c>
      <c r="C1039" s="13" t="s">
        <v>26</v>
      </c>
      <c r="D1039" s="13" t="s">
        <v>34</v>
      </c>
      <c r="E1039" s="13" t="s">
        <v>25</v>
      </c>
      <c r="F1039" s="13">
        <v>8</v>
      </c>
      <c r="G1039" s="13">
        <v>6768</v>
      </c>
      <c r="H1039" s="13">
        <v>3277.5168000000003</v>
      </c>
    </row>
    <row r="1040" spans="1:8" x14ac:dyDescent="0.35">
      <c r="A1040" s="11">
        <v>41369</v>
      </c>
      <c r="B1040" s="12">
        <v>2872</v>
      </c>
      <c r="C1040" s="13" t="s">
        <v>23</v>
      </c>
      <c r="D1040" s="13" t="s">
        <v>34</v>
      </c>
      <c r="E1040" s="13" t="s">
        <v>29</v>
      </c>
      <c r="F1040" s="13">
        <v>6</v>
      </c>
      <c r="G1040" s="13">
        <v>7222.5</v>
      </c>
      <c r="H1040" s="13">
        <v>529.26480000000004</v>
      </c>
    </row>
    <row r="1041" spans="1:8" x14ac:dyDescent="0.35">
      <c r="A1041" s="11">
        <v>41370</v>
      </c>
      <c r="B1041" s="12">
        <v>2508</v>
      </c>
      <c r="C1041" s="13" t="s">
        <v>27</v>
      </c>
      <c r="D1041" s="13" t="s">
        <v>34</v>
      </c>
      <c r="E1041" s="13" t="s">
        <v>28</v>
      </c>
      <c r="F1041" s="13">
        <v>10</v>
      </c>
      <c r="G1041" s="13">
        <v>4240</v>
      </c>
      <c r="H1041" s="13">
        <v>3751.5520000000001</v>
      </c>
    </row>
    <row r="1042" spans="1:8" x14ac:dyDescent="0.35">
      <c r="A1042" s="11">
        <v>41371</v>
      </c>
      <c r="B1042" s="12">
        <v>2873</v>
      </c>
      <c r="C1042" s="13" t="s">
        <v>26</v>
      </c>
      <c r="D1042" s="13" t="s">
        <v>34</v>
      </c>
      <c r="E1042" s="13" t="s">
        <v>29</v>
      </c>
      <c r="F1042" s="13">
        <v>6</v>
      </c>
      <c r="G1042" s="13">
        <v>12330</v>
      </c>
      <c r="H1042" s="13">
        <v>3938.6952000000001</v>
      </c>
    </row>
    <row r="1043" spans="1:8" x14ac:dyDescent="0.35">
      <c r="A1043" s="11">
        <v>41372</v>
      </c>
      <c r="B1043" s="12">
        <v>2509</v>
      </c>
      <c r="C1043" s="13" t="s">
        <v>23</v>
      </c>
      <c r="D1043" s="13" t="s">
        <v>34</v>
      </c>
      <c r="E1043" s="13" t="s">
        <v>28</v>
      </c>
      <c r="F1043" s="13">
        <v>10</v>
      </c>
      <c r="G1043" s="13">
        <v>6960</v>
      </c>
      <c r="H1043" s="13">
        <v>3035.4300000000003</v>
      </c>
    </row>
    <row r="1044" spans="1:8" x14ac:dyDescent="0.35">
      <c r="A1044" s="11">
        <v>41373</v>
      </c>
      <c r="B1044" s="12">
        <v>2874</v>
      </c>
      <c r="C1044" s="13" t="s">
        <v>27</v>
      </c>
      <c r="D1044" s="13" t="s">
        <v>34</v>
      </c>
      <c r="E1044" s="13" t="s">
        <v>25</v>
      </c>
      <c r="F1044" s="13">
        <v>8</v>
      </c>
      <c r="G1044" s="13">
        <v>2952</v>
      </c>
      <c r="H1044" s="13">
        <v>3958.6320000000005</v>
      </c>
    </row>
    <row r="1045" spans="1:8" x14ac:dyDescent="0.35">
      <c r="A1045" s="11">
        <v>41374</v>
      </c>
      <c r="B1045" s="12">
        <v>2510</v>
      </c>
      <c r="C1045" s="13" t="s">
        <v>26</v>
      </c>
      <c r="D1045" s="13" t="s">
        <v>34</v>
      </c>
      <c r="E1045" s="13" t="s">
        <v>28</v>
      </c>
      <c r="F1045" s="13">
        <v>7</v>
      </c>
      <c r="G1045" s="13">
        <v>2236.5</v>
      </c>
      <c r="H1045" s="13">
        <v>2497.2759000000001</v>
      </c>
    </row>
    <row r="1046" spans="1:8" x14ac:dyDescent="0.35">
      <c r="A1046" s="11">
        <v>41375</v>
      </c>
      <c r="B1046" s="12">
        <v>2875</v>
      </c>
      <c r="C1046" s="13" t="s">
        <v>23</v>
      </c>
      <c r="D1046" s="13" t="s">
        <v>34</v>
      </c>
      <c r="E1046" s="13" t="s">
        <v>25</v>
      </c>
      <c r="F1046" s="13">
        <v>6</v>
      </c>
      <c r="G1046" s="13">
        <v>2160</v>
      </c>
      <c r="H1046" s="13">
        <v>3587.7599999999993</v>
      </c>
    </row>
    <row r="1047" spans="1:8" x14ac:dyDescent="0.35">
      <c r="A1047" s="11">
        <v>41376</v>
      </c>
      <c r="B1047" s="12">
        <v>2511</v>
      </c>
      <c r="C1047" s="13" t="s">
        <v>27</v>
      </c>
      <c r="D1047" s="13" t="s">
        <v>34</v>
      </c>
      <c r="E1047" s="13" t="s">
        <v>29</v>
      </c>
      <c r="F1047" s="13">
        <v>9</v>
      </c>
      <c r="G1047" s="13">
        <v>2034</v>
      </c>
      <c r="H1047" s="13">
        <v>1342.0332000000001</v>
      </c>
    </row>
    <row r="1048" spans="1:8" x14ac:dyDescent="0.35">
      <c r="A1048" s="11">
        <v>41377</v>
      </c>
      <c r="B1048" s="12">
        <v>2876</v>
      </c>
      <c r="C1048" s="13" t="s">
        <v>26</v>
      </c>
      <c r="D1048" s="13" t="s">
        <v>34</v>
      </c>
      <c r="E1048" s="13" t="s">
        <v>25</v>
      </c>
      <c r="F1048" s="13">
        <v>9</v>
      </c>
      <c r="G1048" s="13">
        <v>8437.5</v>
      </c>
      <c r="H1048" s="13">
        <v>3468.65625</v>
      </c>
    </row>
    <row r="1049" spans="1:8" x14ac:dyDescent="0.35">
      <c r="A1049" s="11">
        <v>41378</v>
      </c>
      <c r="B1049" s="12">
        <v>2512</v>
      </c>
      <c r="C1049" s="13" t="s">
        <v>23</v>
      </c>
      <c r="D1049" s="13" t="s">
        <v>34</v>
      </c>
      <c r="E1049" s="13" t="s">
        <v>29</v>
      </c>
      <c r="F1049" s="13">
        <v>6</v>
      </c>
      <c r="G1049" s="13">
        <v>12510</v>
      </c>
      <c r="H1049" s="13">
        <v>4870.143</v>
      </c>
    </row>
    <row r="1050" spans="1:8" x14ac:dyDescent="0.35">
      <c r="A1050" s="11">
        <v>41379</v>
      </c>
      <c r="B1050" s="12">
        <v>2877</v>
      </c>
      <c r="C1050" s="13" t="s">
        <v>27</v>
      </c>
      <c r="D1050" s="13" t="s">
        <v>34</v>
      </c>
      <c r="E1050" s="13" t="s">
        <v>28</v>
      </c>
      <c r="F1050" s="13">
        <v>6</v>
      </c>
      <c r="G1050" s="13">
        <v>7209</v>
      </c>
      <c r="H1050" s="13">
        <v>3840.9552000000003</v>
      </c>
    </row>
    <row r="1051" spans="1:8" x14ac:dyDescent="0.35">
      <c r="A1051" s="11">
        <v>41380</v>
      </c>
      <c r="B1051" s="12">
        <v>2513</v>
      </c>
      <c r="C1051" s="13" t="s">
        <v>26</v>
      </c>
      <c r="D1051" s="13" t="s">
        <v>34</v>
      </c>
      <c r="E1051" s="13" t="s">
        <v>29</v>
      </c>
      <c r="F1051" s="13">
        <v>6</v>
      </c>
      <c r="G1051" s="13">
        <v>1791</v>
      </c>
      <c r="H1051" s="13">
        <v>1631.2428</v>
      </c>
    </row>
    <row r="1052" spans="1:8" x14ac:dyDescent="0.35">
      <c r="A1052" s="11">
        <v>41381</v>
      </c>
      <c r="B1052" s="12">
        <v>2878</v>
      </c>
      <c r="C1052" s="13" t="s">
        <v>23</v>
      </c>
      <c r="D1052" s="13" t="s">
        <v>34</v>
      </c>
      <c r="E1052" s="13" t="s">
        <v>28</v>
      </c>
      <c r="F1052" s="13">
        <v>9</v>
      </c>
      <c r="G1052" s="13">
        <v>6264</v>
      </c>
      <c r="H1052" s="13">
        <v>1817.3951999999999</v>
      </c>
    </row>
    <row r="1053" spans="1:8" x14ac:dyDescent="0.35">
      <c r="A1053" s="11">
        <v>41382</v>
      </c>
      <c r="B1053" s="12">
        <v>2514</v>
      </c>
      <c r="C1053" s="13" t="s">
        <v>27</v>
      </c>
      <c r="D1053" s="13" t="s">
        <v>34</v>
      </c>
      <c r="E1053" s="13" t="s">
        <v>25</v>
      </c>
      <c r="F1053" s="13">
        <v>8</v>
      </c>
      <c r="G1053" s="13">
        <v>2280</v>
      </c>
      <c r="H1053" s="13">
        <v>2873.4839999999995</v>
      </c>
    </row>
    <row r="1054" spans="1:8" x14ac:dyDescent="0.35">
      <c r="A1054" s="11">
        <v>41383</v>
      </c>
      <c r="B1054" s="12">
        <v>2879</v>
      </c>
      <c r="C1054" s="13" t="s">
        <v>26</v>
      </c>
      <c r="D1054" s="13" t="s">
        <v>34</v>
      </c>
      <c r="E1054" s="13" t="s">
        <v>28</v>
      </c>
      <c r="F1054" s="13">
        <v>6</v>
      </c>
      <c r="G1054" s="13">
        <v>1530</v>
      </c>
      <c r="H1054" s="13">
        <v>1919.0790000000002</v>
      </c>
    </row>
    <row r="1055" spans="1:8" x14ac:dyDescent="0.35">
      <c r="A1055" s="11">
        <v>41384</v>
      </c>
      <c r="B1055" s="12">
        <v>2515</v>
      </c>
      <c r="C1055" s="13" t="s">
        <v>23</v>
      </c>
      <c r="D1055" s="13" t="s">
        <v>34</v>
      </c>
      <c r="E1055" s="13" t="s">
        <v>25</v>
      </c>
      <c r="F1055" s="13">
        <v>8</v>
      </c>
      <c r="G1055" s="13">
        <v>2016</v>
      </c>
      <c r="H1055" s="13">
        <v>1384.992</v>
      </c>
    </row>
    <row r="1056" spans="1:8" x14ac:dyDescent="0.35">
      <c r="A1056" s="11">
        <v>41385</v>
      </c>
      <c r="B1056" s="12">
        <v>2880</v>
      </c>
      <c r="C1056" s="13" t="s">
        <v>27</v>
      </c>
      <c r="D1056" s="13" t="s">
        <v>34</v>
      </c>
      <c r="E1056" s="13" t="s">
        <v>29</v>
      </c>
      <c r="F1056" s="13">
        <v>6</v>
      </c>
      <c r="G1056" s="13">
        <v>4302</v>
      </c>
      <c r="H1056" s="13">
        <v>2503.7640000000001</v>
      </c>
    </row>
    <row r="1057" spans="1:8" x14ac:dyDescent="0.35">
      <c r="A1057" s="11">
        <v>41386</v>
      </c>
      <c r="B1057" s="12">
        <v>2516</v>
      </c>
      <c r="C1057" s="13" t="s">
        <v>26</v>
      </c>
      <c r="D1057" s="13" t="s">
        <v>34</v>
      </c>
      <c r="E1057" s="13" t="s">
        <v>25</v>
      </c>
      <c r="F1057" s="13">
        <v>10</v>
      </c>
      <c r="G1057" s="13">
        <v>11220</v>
      </c>
      <c r="H1057" s="13">
        <v>4840.0275000000001</v>
      </c>
    </row>
    <row r="1058" spans="1:8" x14ac:dyDescent="0.35">
      <c r="A1058" s="11">
        <v>41387</v>
      </c>
      <c r="B1058" s="12">
        <v>2881</v>
      </c>
      <c r="C1058" s="13" t="s">
        <v>23</v>
      </c>
      <c r="D1058" s="13" t="s">
        <v>34</v>
      </c>
      <c r="E1058" s="13" t="s">
        <v>29</v>
      </c>
      <c r="F1058" s="13">
        <v>7</v>
      </c>
      <c r="G1058" s="13">
        <v>5922</v>
      </c>
      <c r="H1058" s="13">
        <v>2014.0722000000001</v>
      </c>
    </row>
    <row r="1059" spans="1:8" x14ac:dyDescent="0.35">
      <c r="A1059" s="11">
        <v>41388</v>
      </c>
      <c r="B1059" s="12">
        <v>2517</v>
      </c>
      <c r="C1059" s="13" t="s">
        <v>27</v>
      </c>
      <c r="D1059" s="13" t="s">
        <v>34</v>
      </c>
      <c r="E1059" s="13" t="s">
        <v>28</v>
      </c>
      <c r="F1059" s="13">
        <v>9</v>
      </c>
      <c r="G1059" s="13">
        <v>6277.5</v>
      </c>
      <c r="H1059" s="13">
        <v>4457.0249999999996</v>
      </c>
    </row>
    <row r="1060" spans="1:8" x14ac:dyDescent="0.35">
      <c r="A1060" s="11">
        <v>41389</v>
      </c>
      <c r="B1060" s="12">
        <v>2882</v>
      </c>
      <c r="C1060" s="13" t="s">
        <v>26</v>
      </c>
      <c r="D1060" s="13" t="s">
        <v>34</v>
      </c>
      <c r="E1060" s="13" t="s">
        <v>29</v>
      </c>
      <c r="F1060" s="13">
        <v>7</v>
      </c>
      <c r="G1060" s="13">
        <v>4158</v>
      </c>
      <c r="H1060" s="13">
        <v>1633.6782000000001</v>
      </c>
    </row>
    <row r="1061" spans="1:8" x14ac:dyDescent="0.35">
      <c r="A1061" s="11">
        <v>41390</v>
      </c>
      <c r="B1061" s="12">
        <v>2518</v>
      </c>
      <c r="C1061" s="13" t="s">
        <v>23</v>
      </c>
      <c r="D1061" s="13" t="s">
        <v>34</v>
      </c>
      <c r="E1061" s="13" t="s">
        <v>28</v>
      </c>
      <c r="F1061" s="13">
        <v>6</v>
      </c>
      <c r="G1061" s="13">
        <v>7506</v>
      </c>
      <c r="H1061" s="13">
        <v>3336.6671999999999</v>
      </c>
    </row>
    <row r="1062" spans="1:8" x14ac:dyDescent="0.35">
      <c r="A1062" s="11">
        <v>41391</v>
      </c>
      <c r="B1062" s="12">
        <v>2883</v>
      </c>
      <c r="C1062" s="13" t="s">
        <v>27</v>
      </c>
      <c r="D1062" s="13" t="s">
        <v>34</v>
      </c>
      <c r="E1062" s="13" t="s">
        <v>25</v>
      </c>
      <c r="F1062" s="13">
        <v>10</v>
      </c>
      <c r="G1062" s="13">
        <v>4470</v>
      </c>
      <c r="H1062" s="13">
        <v>841.25400000000002</v>
      </c>
    </row>
    <row r="1063" spans="1:8" x14ac:dyDescent="0.35">
      <c r="A1063" s="11">
        <v>41392</v>
      </c>
      <c r="B1063" s="12">
        <v>2519</v>
      </c>
      <c r="C1063" s="13" t="s">
        <v>26</v>
      </c>
      <c r="D1063" s="13" t="s">
        <v>34</v>
      </c>
      <c r="E1063" s="13" t="s">
        <v>28</v>
      </c>
      <c r="F1063" s="13">
        <v>8</v>
      </c>
      <c r="G1063" s="13">
        <v>8496</v>
      </c>
      <c r="H1063" s="13">
        <v>3202.1424000000006</v>
      </c>
    </row>
    <row r="1064" spans="1:8" x14ac:dyDescent="0.35">
      <c r="A1064" s="11">
        <v>41393</v>
      </c>
      <c r="B1064" s="12">
        <v>2884</v>
      </c>
      <c r="C1064" s="13" t="s">
        <v>23</v>
      </c>
      <c r="D1064" s="13" t="s">
        <v>34</v>
      </c>
      <c r="E1064" s="13" t="s">
        <v>25</v>
      </c>
      <c r="F1064" s="13">
        <v>10</v>
      </c>
      <c r="G1064" s="13">
        <v>5860</v>
      </c>
      <c r="H1064" s="13">
        <v>3559.9500000000003</v>
      </c>
    </row>
    <row r="1065" spans="1:8" x14ac:dyDescent="0.35">
      <c r="A1065" s="11">
        <v>41394</v>
      </c>
      <c r="B1065" s="12">
        <v>2520</v>
      </c>
      <c r="C1065" s="13" t="s">
        <v>27</v>
      </c>
      <c r="D1065" s="13" t="s">
        <v>34</v>
      </c>
      <c r="E1065" s="13" t="s">
        <v>29</v>
      </c>
      <c r="F1065" s="13">
        <v>9</v>
      </c>
      <c r="G1065" s="13">
        <v>2821.5</v>
      </c>
      <c r="H1065" s="13">
        <v>4735.605599999999</v>
      </c>
    </row>
    <row r="1066" spans="1:8" x14ac:dyDescent="0.35">
      <c r="A1066" s="11">
        <v>41395</v>
      </c>
      <c r="B1066" s="12">
        <v>2885</v>
      </c>
      <c r="C1066" s="13" t="s">
        <v>26</v>
      </c>
      <c r="D1066" s="13" t="s">
        <v>34</v>
      </c>
      <c r="E1066" s="13" t="s">
        <v>25</v>
      </c>
      <c r="F1066" s="13">
        <v>10</v>
      </c>
      <c r="G1066" s="13">
        <v>2835</v>
      </c>
      <c r="H1066" s="13">
        <v>904.36500000000001</v>
      </c>
    </row>
    <row r="1067" spans="1:8" x14ac:dyDescent="0.35">
      <c r="A1067" s="11">
        <v>41396</v>
      </c>
      <c r="B1067" s="12">
        <v>2521</v>
      </c>
      <c r="C1067" s="13" t="s">
        <v>23</v>
      </c>
      <c r="D1067" s="13" t="s">
        <v>34</v>
      </c>
      <c r="E1067" s="13" t="s">
        <v>29</v>
      </c>
      <c r="F1067" s="13">
        <v>9</v>
      </c>
      <c r="G1067" s="13">
        <v>7533</v>
      </c>
      <c r="H1067" s="13">
        <v>2267.433</v>
      </c>
    </row>
    <row r="1068" spans="1:8" x14ac:dyDescent="0.35">
      <c r="A1068" s="11">
        <v>41397</v>
      </c>
      <c r="B1068" s="12">
        <v>2886</v>
      </c>
      <c r="C1068" s="13" t="s">
        <v>27</v>
      </c>
      <c r="D1068" s="13" t="s">
        <v>34</v>
      </c>
      <c r="E1068" s="13" t="s">
        <v>28</v>
      </c>
      <c r="F1068" s="13">
        <v>8</v>
      </c>
      <c r="G1068" s="13">
        <v>6240</v>
      </c>
      <c r="H1068" s="13">
        <v>2210.8319999999999</v>
      </c>
    </row>
    <row r="1069" spans="1:8" x14ac:dyDescent="0.35">
      <c r="A1069" s="11">
        <v>41398</v>
      </c>
      <c r="B1069" s="12">
        <v>2522</v>
      </c>
      <c r="C1069" s="13" t="s">
        <v>26</v>
      </c>
      <c r="D1069" s="13" t="s">
        <v>34</v>
      </c>
      <c r="E1069" s="13" t="s">
        <v>29</v>
      </c>
      <c r="F1069" s="13">
        <v>7</v>
      </c>
      <c r="G1069" s="13">
        <v>1974</v>
      </c>
      <c r="H1069" s="13">
        <v>2703.5904</v>
      </c>
    </row>
    <row r="1070" spans="1:8" x14ac:dyDescent="0.35">
      <c r="A1070" s="11">
        <v>41399</v>
      </c>
      <c r="B1070" s="12">
        <v>2887</v>
      </c>
      <c r="C1070" s="13" t="s">
        <v>23</v>
      </c>
      <c r="D1070" s="13" t="s">
        <v>34</v>
      </c>
      <c r="E1070" s="13" t="s">
        <v>28</v>
      </c>
      <c r="F1070" s="13">
        <v>9</v>
      </c>
      <c r="G1070" s="13">
        <v>4819.5</v>
      </c>
      <c r="H1070" s="13">
        <v>3159.9855000000002</v>
      </c>
    </row>
    <row r="1071" spans="1:8" x14ac:dyDescent="0.35">
      <c r="A1071" s="11">
        <v>41400</v>
      </c>
      <c r="B1071" s="12">
        <v>2523</v>
      </c>
      <c r="C1071" s="13" t="s">
        <v>27</v>
      </c>
      <c r="D1071" s="13" t="s">
        <v>34</v>
      </c>
      <c r="E1071" s="13" t="s">
        <v>25</v>
      </c>
      <c r="F1071" s="13">
        <v>8</v>
      </c>
      <c r="G1071" s="13">
        <v>6912</v>
      </c>
      <c r="H1071" s="13">
        <v>1589.2991999999999</v>
      </c>
    </row>
    <row r="1072" spans="1:8" x14ac:dyDescent="0.35">
      <c r="A1072" s="11">
        <v>41401</v>
      </c>
      <c r="B1072" s="12">
        <v>2888</v>
      </c>
      <c r="C1072" s="13" t="s">
        <v>26</v>
      </c>
      <c r="D1072" s="13" t="s">
        <v>34</v>
      </c>
      <c r="E1072" s="13" t="s">
        <v>28</v>
      </c>
      <c r="F1072" s="13">
        <v>7</v>
      </c>
      <c r="G1072" s="13">
        <v>1937.25</v>
      </c>
      <c r="H1072" s="13">
        <v>1735.3885500000001</v>
      </c>
    </row>
    <row r="1073" spans="1:8" x14ac:dyDescent="0.35">
      <c r="A1073" s="11">
        <v>41767</v>
      </c>
      <c r="B1073" s="12">
        <v>2524</v>
      </c>
      <c r="C1073" s="13" t="s">
        <v>23</v>
      </c>
      <c r="D1073" s="13" t="s">
        <v>34</v>
      </c>
      <c r="E1073" s="13" t="s">
        <v>25</v>
      </c>
      <c r="F1073" s="13">
        <v>7</v>
      </c>
      <c r="G1073" s="13">
        <v>5701.5</v>
      </c>
      <c r="H1073" s="13">
        <v>2538.3077999999996</v>
      </c>
    </row>
    <row r="1074" spans="1:8" x14ac:dyDescent="0.35">
      <c r="A1074" s="11">
        <v>41768</v>
      </c>
      <c r="B1074" s="12">
        <v>2889</v>
      </c>
      <c r="C1074" s="13" t="s">
        <v>27</v>
      </c>
      <c r="D1074" s="13" t="s">
        <v>34</v>
      </c>
      <c r="E1074" s="13" t="s">
        <v>29</v>
      </c>
      <c r="F1074" s="13">
        <v>8</v>
      </c>
      <c r="G1074" s="13">
        <v>5832</v>
      </c>
      <c r="H1074" s="13">
        <v>666.01440000000002</v>
      </c>
    </row>
    <row r="1075" spans="1:8" x14ac:dyDescent="0.35">
      <c r="A1075" s="11">
        <v>41769</v>
      </c>
      <c r="B1075" s="12">
        <v>2525</v>
      </c>
      <c r="C1075" s="13" t="s">
        <v>26</v>
      </c>
      <c r="D1075" s="13" t="s">
        <v>34</v>
      </c>
      <c r="E1075" s="13" t="s">
        <v>25</v>
      </c>
      <c r="F1075" s="13">
        <v>10</v>
      </c>
      <c r="G1075" s="13">
        <v>7200</v>
      </c>
      <c r="H1075" s="13">
        <v>2791.44</v>
      </c>
    </row>
    <row r="1076" spans="1:8" x14ac:dyDescent="0.35">
      <c r="A1076" s="11">
        <v>41770</v>
      </c>
      <c r="B1076" s="12">
        <v>2890</v>
      </c>
      <c r="C1076" s="13" t="s">
        <v>23</v>
      </c>
      <c r="D1076" s="13" t="s">
        <v>34</v>
      </c>
      <c r="E1076" s="13" t="s">
        <v>29</v>
      </c>
      <c r="F1076" s="13">
        <v>6</v>
      </c>
      <c r="G1076" s="13">
        <v>4819.5</v>
      </c>
      <c r="H1076" s="13">
        <v>2576.826</v>
      </c>
    </row>
    <row r="1077" spans="1:8" x14ac:dyDescent="0.35">
      <c r="A1077" s="11">
        <v>41771</v>
      </c>
      <c r="B1077" s="12">
        <v>2526</v>
      </c>
      <c r="C1077" s="13" t="s">
        <v>27</v>
      </c>
      <c r="D1077" s="13" t="s">
        <v>34</v>
      </c>
      <c r="E1077" s="13" t="s">
        <v>28</v>
      </c>
      <c r="F1077" s="13">
        <v>6</v>
      </c>
      <c r="G1077" s="13">
        <v>2133</v>
      </c>
      <c r="H1077" s="13">
        <v>3367.5803999999998</v>
      </c>
    </row>
    <row r="1078" spans="1:8" x14ac:dyDescent="0.35">
      <c r="A1078" s="11">
        <v>41772</v>
      </c>
      <c r="B1078" s="12">
        <v>2891</v>
      </c>
      <c r="C1078" s="13" t="s">
        <v>26</v>
      </c>
      <c r="D1078" s="13" t="s">
        <v>34</v>
      </c>
      <c r="E1078" s="13" t="s">
        <v>29</v>
      </c>
      <c r="F1078" s="13">
        <v>10</v>
      </c>
      <c r="G1078" s="13">
        <v>4980</v>
      </c>
      <c r="H1078" s="13">
        <v>816.72</v>
      </c>
    </row>
    <row r="1079" spans="1:8" x14ac:dyDescent="0.35">
      <c r="A1079" s="11">
        <v>41773</v>
      </c>
      <c r="B1079" s="12">
        <v>2527</v>
      </c>
      <c r="C1079" s="13" t="s">
        <v>23</v>
      </c>
      <c r="D1079" s="13" t="s">
        <v>34</v>
      </c>
      <c r="E1079" s="13" t="s">
        <v>28</v>
      </c>
      <c r="F1079" s="13">
        <v>6</v>
      </c>
      <c r="G1079" s="13">
        <v>7164</v>
      </c>
      <c r="H1079" s="13">
        <v>3062.61</v>
      </c>
    </row>
    <row r="1080" spans="1:8" x14ac:dyDescent="0.35">
      <c r="A1080" s="11">
        <v>41774</v>
      </c>
      <c r="B1080" s="12">
        <v>2892</v>
      </c>
      <c r="C1080" s="13" t="s">
        <v>27</v>
      </c>
      <c r="D1080" s="13" t="s">
        <v>34</v>
      </c>
      <c r="E1080" s="13" t="s">
        <v>25</v>
      </c>
      <c r="F1080" s="13">
        <v>8</v>
      </c>
      <c r="G1080" s="13">
        <v>12540</v>
      </c>
      <c r="H1080" s="13">
        <v>2151.3624</v>
      </c>
    </row>
    <row r="1081" spans="1:8" x14ac:dyDescent="0.35">
      <c r="A1081" s="11">
        <v>41775</v>
      </c>
      <c r="B1081" s="12">
        <v>2528</v>
      </c>
      <c r="C1081" s="13" t="s">
        <v>26</v>
      </c>
      <c r="D1081" s="13" t="s">
        <v>34</v>
      </c>
      <c r="E1081" s="13" t="s">
        <v>28</v>
      </c>
      <c r="F1081" s="13">
        <v>10</v>
      </c>
      <c r="G1081" s="13">
        <v>2445</v>
      </c>
      <c r="H1081" s="13">
        <v>1606.8540000000003</v>
      </c>
    </row>
    <row r="1082" spans="1:8" x14ac:dyDescent="0.35">
      <c r="A1082" s="11">
        <v>41776</v>
      </c>
      <c r="B1082" s="12">
        <v>2893</v>
      </c>
      <c r="C1082" s="13" t="s">
        <v>23</v>
      </c>
      <c r="D1082" s="13" t="s">
        <v>34</v>
      </c>
      <c r="E1082" s="13" t="s">
        <v>25</v>
      </c>
      <c r="F1082" s="13">
        <v>10</v>
      </c>
      <c r="G1082" s="13">
        <v>4530</v>
      </c>
      <c r="H1082" s="13">
        <v>2665.6784999999995</v>
      </c>
    </row>
    <row r="1083" spans="1:8" x14ac:dyDescent="0.35">
      <c r="A1083" s="11">
        <v>41777</v>
      </c>
      <c r="B1083" s="12">
        <v>2529</v>
      </c>
      <c r="C1083" s="13" t="s">
        <v>27</v>
      </c>
      <c r="D1083" s="13" t="s">
        <v>34</v>
      </c>
      <c r="E1083" s="13" t="s">
        <v>29</v>
      </c>
      <c r="F1083" s="13">
        <v>7</v>
      </c>
      <c r="G1083" s="13">
        <v>3906</v>
      </c>
      <c r="H1083" s="13">
        <v>2996.6831999999999</v>
      </c>
    </row>
    <row r="1084" spans="1:8" x14ac:dyDescent="0.35">
      <c r="A1084" s="11">
        <v>41778</v>
      </c>
      <c r="B1084" s="12">
        <v>2894</v>
      </c>
      <c r="C1084" s="13" t="s">
        <v>26</v>
      </c>
      <c r="D1084" s="13" t="s">
        <v>34</v>
      </c>
      <c r="E1084" s="13" t="s">
        <v>25</v>
      </c>
      <c r="F1084" s="13">
        <v>8</v>
      </c>
      <c r="G1084" s="13">
        <v>4968</v>
      </c>
      <c r="H1084" s="13">
        <v>874.11959999999999</v>
      </c>
    </row>
    <row r="1085" spans="1:8" x14ac:dyDescent="0.35">
      <c r="A1085" s="11">
        <v>41779</v>
      </c>
      <c r="B1085" s="12">
        <v>2530</v>
      </c>
      <c r="C1085" s="13" t="s">
        <v>23</v>
      </c>
      <c r="D1085" s="13" t="s">
        <v>34</v>
      </c>
      <c r="E1085" s="13" t="s">
        <v>29</v>
      </c>
      <c r="F1085" s="13">
        <v>6</v>
      </c>
      <c r="G1085" s="13">
        <v>4104</v>
      </c>
      <c r="H1085" s="13">
        <v>757.39319999999998</v>
      </c>
    </row>
    <row r="1086" spans="1:8" x14ac:dyDescent="0.35">
      <c r="A1086" s="11">
        <v>41780</v>
      </c>
      <c r="B1086" s="12">
        <v>2895</v>
      </c>
      <c r="C1086" s="13" t="s">
        <v>27</v>
      </c>
      <c r="D1086" s="13" t="s">
        <v>34</v>
      </c>
      <c r="E1086" s="13" t="s">
        <v>28</v>
      </c>
      <c r="F1086" s="13">
        <v>8</v>
      </c>
      <c r="G1086" s="13">
        <v>12420</v>
      </c>
      <c r="H1086" s="13">
        <v>4550.6880000000001</v>
      </c>
    </row>
    <row r="1087" spans="1:8" x14ac:dyDescent="0.35">
      <c r="A1087" s="11">
        <v>41781</v>
      </c>
      <c r="B1087" s="12">
        <v>2531</v>
      </c>
      <c r="C1087" s="13" t="s">
        <v>26</v>
      </c>
      <c r="D1087" s="13" t="s">
        <v>34</v>
      </c>
      <c r="E1087" s="13" t="s">
        <v>29</v>
      </c>
      <c r="F1087" s="13">
        <v>6</v>
      </c>
      <c r="G1087" s="13">
        <v>3240</v>
      </c>
      <c r="H1087" s="13">
        <v>1838.0519999999999</v>
      </c>
    </row>
    <row r="1088" spans="1:8" x14ac:dyDescent="0.35">
      <c r="A1088" s="11">
        <v>41782</v>
      </c>
      <c r="B1088" s="12">
        <v>2896</v>
      </c>
      <c r="C1088" s="13" t="s">
        <v>23</v>
      </c>
      <c r="D1088" s="13" t="s">
        <v>34</v>
      </c>
      <c r="E1088" s="13" t="s">
        <v>28</v>
      </c>
      <c r="F1088" s="13">
        <v>8</v>
      </c>
      <c r="G1088" s="13">
        <v>6264</v>
      </c>
      <c r="H1088" s="13">
        <v>938.13840000000005</v>
      </c>
    </row>
    <row r="1089" spans="1:8" x14ac:dyDescent="0.35">
      <c r="A1089" s="11">
        <v>41783</v>
      </c>
      <c r="B1089" s="12">
        <v>2532</v>
      </c>
      <c r="C1089" s="13" t="s">
        <v>27</v>
      </c>
      <c r="D1089" s="13" t="s">
        <v>34</v>
      </c>
      <c r="E1089" s="13" t="s">
        <v>25</v>
      </c>
      <c r="F1089" s="13">
        <v>6</v>
      </c>
      <c r="G1089" s="13">
        <v>7398</v>
      </c>
      <c r="H1089" s="13">
        <v>2380.3065000000001</v>
      </c>
    </row>
    <row r="1090" spans="1:8" x14ac:dyDescent="0.35">
      <c r="A1090" s="11">
        <v>41784</v>
      </c>
      <c r="B1090" s="12">
        <v>2897</v>
      </c>
      <c r="C1090" s="13" t="s">
        <v>26</v>
      </c>
      <c r="D1090" s="13" t="s">
        <v>34</v>
      </c>
      <c r="E1090" s="13" t="s">
        <v>28</v>
      </c>
      <c r="F1090" s="13">
        <v>6</v>
      </c>
      <c r="G1090" s="13">
        <v>7641</v>
      </c>
      <c r="H1090" s="13">
        <v>4349.0025000000005</v>
      </c>
    </row>
    <row r="1091" spans="1:8" x14ac:dyDescent="0.35">
      <c r="A1091" s="11">
        <v>41785</v>
      </c>
      <c r="B1091" s="12">
        <v>2533</v>
      </c>
      <c r="C1091" s="13" t="s">
        <v>23</v>
      </c>
      <c r="D1091" s="13" t="s">
        <v>34</v>
      </c>
      <c r="E1091" s="13" t="s">
        <v>25</v>
      </c>
      <c r="F1091" s="13">
        <v>8</v>
      </c>
      <c r="G1091" s="13">
        <v>7272</v>
      </c>
      <c r="H1091" s="13">
        <v>2285.5896000000002</v>
      </c>
    </row>
    <row r="1092" spans="1:8" x14ac:dyDescent="0.35">
      <c r="A1092" s="11">
        <v>41786</v>
      </c>
      <c r="B1092" s="12">
        <v>2898</v>
      </c>
      <c r="C1092" s="13" t="s">
        <v>27</v>
      </c>
      <c r="D1092" s="13" t="s">
        <v>34</v>
      </c>
      <c r="E1092" s="13" t="s">
        <v>29</v>
      </c>
      <c r="F1092" s="13">
        <v>7</v>
      </c>
      <c r="G1092" s="13">
        <v>2362.5</v>
      </c>
      <c r="H1092" s="13">
        <v>2218.3875000000003</v>
      </c>
    </row>
    <row r="1093" spans="1:8" x14ac:dyDescent="0.35">
      <c r="A1093" s="11">
        <v>41787</v>
      </c>
      <c r="B1093" s="12">
        <v>2534</v>
      </c>
      <c r="C1093" s="13" t="s">
        <v>26</v>
      </c>
      <c r="D1093" s="13" t="s">
        <v>34</v>
      </c>
      <c r="E1093" s="13" t="s">
        <v>25</v>
      </c>
      <c r="F1093" s="13">
        <v>6</v>
      </c>
      <c r="G1093" s="13">
        <v>1539</v>
      </c>
      <c r="H1093" s="13">
        <v>2418.0767999999998</v>
      </c>
    </row>
    <row r="1094" spans="1:8" x14ac:dyDescent="0.35">
      <c r="A1094" s="11">
        <v>41788</v>
      </c>
      <c r="B1094" s="12">
        <v>2899</v>
      </c>
      <c r="C1094" s="13" t="s">
        <v>23</v>
      </c>
      <c r="D1094" s="13" t="s">
        <v>34</v>
      </c>
      <c r="E1094" s="13" t="s">
        <v>29</v>
      </c>
      <c r="F1094" s="13">
        <v>7</v>
      </c>
      <c r="G1094" s="13">
        <v>2499</v>
      </c>
      <c r="H1094" s="13">
        <v>3060.2753999999995</v>
      </c>
    </row>
    <row r="1095" spans="1:8" x14ac:dyDescent="0.35">
      <c r="A1095" s="11">
        <v>41789</v>
      </c>
      <c r="B1095" s="12">
        <v>2535</v>
      </c>
      <c r="C1095" s="13" t="s">
        <v>27</v>
      </c>
      <c r="D1095" s="13" t="s">
        <v>34</v>
      </c>
      <c r="E1095" s="13" t="s">
        <v>28</v>
      </c>
      <c r="F1095" s="13">
        <v>7</v>
      </c>
      <c r="G1095" s="13">
        <v>2205</v>
      </c>
      <c r="H1095" s="13">
        <v>1384.7400000000002</v>
      </c>
    </row>
    <row r="1096" spans="1:8" x14ac:dyDescent="0.35">
      <c r="A1096" s="11">
        <v>41790</v>
      </c>
      <c r="B1096" s="12">
        <v>2900</v>
      </c>
      <c r="C1096" s="13" t="s">
        <v>26</v>
      </c>
      <c r="D1096" s="13" t="s">
        <v>34</v>
      </c>
      <c r="E1096" s="13" t="s">
        <v>29</v>
      </c>
      <c r="F1096" s="13">
        <v>9</v>
      </c>
      <c r="G1096" s="13">
        <v>7249.5</v>
      </c>
      <c r="H1096" s="13">
        <v>3633.2077500000005</v>
      </c>
    </row>
    <row r="1097" spans="1:8" x14ac:dyDescent="0.35">
      <c r="A1097" s="11">
        <v>41791</v>
      </c>
      <c r="B1097" s="12">
        <v>2536</v>
      </c>
      <c r="C1097" s="13" t="s">
        <v>23</v>
      </c>
      <c r="D1097" s="13" t="s">
        <v>34</v>
      </c>
      <c r="E1097" s="13" t="s">
        <v>28</v>
      </c>
      <c r="F1097" s="13">
        <v>10</v>
      </c>
      <c r="G1097" s="13">
        <v>4905</v>
      </c>
      <c r="H1097" s="13">
        <v>1843.299</v>
      </c>
    </row>
    <row r="1098" spans="1:8" x14ac:dyDescent="0.35">
      <c r="A1098" s="11">
        <v>41792</v>
      </c>
      <c r="B1098" s="12">
        <v>2901</v>
      </c>
      <c r="C1098" s="13" t="s">
        <v>27</v>
      </c>
      <c r="D1098" s="13" t="s">
        <v>34</v>
      </c>
      <c r="E1098" s="13" t="s">
        <v>25</v>
      </c>
      <c r="F1098" s="13">
        <v>8</v>
      </c>
      <c r="G1098" s="13">
        <v>7128</v>
      </c>
      <c r="H1098" s="13">
        <v>3282.6815999999999</v>
      </c>
    </row>
    <row r="1099" spans="1:8" x14ac:dyDescent="0.35">
      <c r="A1099" s="11">
        <v>41793</v>
      </c>
      <c r="B1099" s="12">
        <v>2537</v>
      </c>
      <c r="C1099" s="13" t="s">
        <v>26</v>
      </c>
      <c r="D1099" s="13" t="s">
        <v>34</v>
      </c>
      <c r="E1099" s="13" t="s">
        <v>28</v>
      </c>
      <c r="F1099" s="13">
        <v>10</v>
      </c>
      <c r="G1099" s="13">
        <v>3270</v>
      </c>
      <c r="H1099" s="13">
        <v>632.09100000000001</v>
      </c>
    </row>
    <row r="1100" spans="1:8" x14ac:dyDescent="0.35">
      <c r="A1100" s="11">
        <v>41794</v>
      </c>
      <c r="B1100" s="12">
        <v>2902</v>
      </c>
      <c r="C1100" s="13" t="s">
        <v>23</v>
      </c>
      <c r="D1100" s="13" t="s">
        <v>34</v>
      </c>
      <c r="E1100" s="13" t="s">
        <v>25</v>
      </c>
      <c r="F1100" s="13">
        <v>9</v>
      </c>
      <c r="G1100" s="13">
        <v>7884</v>
      </c>
      <c r="H1100" s="13">
        <v>1054.0907999999999</v>
      </c>
    </row>
    <row r="1101" spans="1:8" x14ac:dyDescent="0.35">
      <c r="A1101" s="11">
        <v>41795</v>
      </c>
      <c r="B1101" s="12">
        <v>2538</v>
      </c>
      <c r="C1101" s="13" t="s">
        <v>27</v>
      </c>
      <c r="D1101" s="13" t="s">
        <v>34</v>
      </c>
      <c r="E1101" s="13" t="s">
        <v>29</v>
      </c>
      <c r="F1101" s="13">
        <v>7</v>
      </c>
      <c r="G1101" s="13">
        <v>3874.5</v>
      </c>
      <c r="H1101" s="13">
        <v>4334.5968749999993</v>
      </c>
    </row>
    <row r="1102" spans="1:8" x14ac:dyDescent="0.35">
      <c r="A1102" s="11">
        <v>41796</v>
      </c>
      <c r="B1102" s="12">
        <v>2903</v>
      </c>
      <c r="C1102" s="13" t="s">
        <v>26</v>
      </c>
      <c r="D1102" s="13" t="s">
        <v>34</v>
      </c>
      <c r="E1102" s="13" t="s">
        <v>25</v>
      </c>
      <c r="F1102" s="13">
        <v>8</v>
      </c>
      <c r="G1102" s="13">
        <v>2400</v>
      </c>
      <c r="H1102" s="13">
        <v>2930.3999999999996</v>
      </c>
    </row>
    <row r="1103" spans="1:8" x14ac:dyDescent="0.35">
      <c r="A1103" s="11">
        <v>41797</v>
      </c>
      <c r="B1103" s="12">
        <v>2539</v>
      </c>
      <c r="C1103" s="13" t="s">
        <v>23</v>
      </c>
      <c r="D1103" s="13" t="s">
        <v>34</v>
      </c>
      <c r="E1103" s="13" t="s">
        <v>29</v>
      </c>
      <c r="F1103" s="13">
        <v>9</v>
      </c>
      <c r="G1103" s="13">
        <v>8316</v>
      </c>
      <c r="H1103" s="13">
        <v>1838.2518</v>
      </c>
    </row>
    <row r="1104" spans="1:8" x14ac:dyDescent="0.35">
      <c r="A1104" s="11">
        <v>41798</v>
      </c>
      <c r="B1104" s="12">
        <v>2904</v>
      </c>
      <c r="C1104" s="13" t="s">
        <v>27</v>
      </c>
      <c r="D1104" s="13" t="s">
        <v>34</v>
      </c>
      <c r="E1104" s="13" t="s">
        <v>28</v>
      </c>
      <c r="F1104" s="13">
        <v>7</v>
      </c>
      <c r="G1104" s="13">
        <v>6804</v>
      </c>
      <c r="H1104" s="13">
        <v>2483.46</v>
      </c>
    </row>
    <row r="1105" spans="1:8" x14ac:dyDescent="0.35">
      <c r="A1105" s="11">
        <v>41799</v>
      </c>
      <c r="B1105" s="12">
        <v>2540</v>
      </c>
      <c r="C1105" s="13" t="s">
        <v>26</v>
      </c>
      <c r="D1105" s="13" t="s">
        <v>34</v>
      </c>
      <c r="E1105" s="13" t="s">
        <v>29</v>
      </c>
      <c r="F1105" s="13">
        <v>10</v>
      </c>
      <c r="G1105" s="13">
        <v>4440</v>
      </c>
      <c r="H1105" s="13">
        <v>1779.9959999999999</v>
      </c>
    </row>
    <row r="1106" spans="1:8" x14ac:dyDescent="0.35">
      <c r="A1106" s="11">
        <v>41800</v>
      </c>
      <c r="B1106" s="12">
        <v>2905</v>
      </c>
      <c r="C1106" s="13" t="s">
        <v>23</v>
      </c>
      <c r="D1106" s="13" t="s">
        <v>34</v>
      </c>
      <c r="E1106" s="13" t="s">
        <v>28</v>
      </c>
      <c r="F1106" s="13">
        <v>6</v>
      </c>
      <c r="G1106" s="13">
        <v>7155</v>
      </c>
      <c r="H1106" s="13">
        <v>1952.8380000000002</v>
      </c>
    </row>
    <row r="1107" spans="1:8" x14ac:dyDescent="0.35">
      <c r="A1107" s="11">
        <v>41801</v>
      </c>
      <c r="B1107" s="12">
        <v>2910</v>
      </c>
      <c r="C1107" s="13" t="s">
        <v>23</v>
      </c>
      <c r="D1107" s="13" t="s">
        <v>34</v>
      </c>
      <c r="E1107" s="13" t="s">
        <v>28</v>
      </c>
      <c r="F1107" s="13">
        <v>6</v>
      </c>
      <c r="G1107" s="13">
        <v>11925</v>
      </c>
      <c r="H1107" s="13">
        <v>976.4190000000001</v>
      </c>
    </row>
    <row r="1108" spans="1:8" x14ac:dyDescent="0.35">
      <c r="A1108" s="11">
        <v>41802</v>
      </c>
      <c r="B1108" s="12">
        <v>2541</v>
      </c>
      <c r="C1108" s="13" t="s">
        <v>27</v>
      </c>
      <c r="D1108" s="13" t="s">
        <v>34</v>
      </c>
      <c r="E1108" s="13" t="s">
        <v>25</v>
      </c>
      <c r="F1108" s="13">
        <v>8</v>
      </c>
      <c r="G1108" s="13">
        <v>6144</v>
      </c>
      <c r="H1108" s="13">
        <v>687.66719999999998</v>
      </c>
    </row>
    <row r="1109" spans="1:8" x14ac:dyDescent="0.35">
      <c r="A1109" s="11">
        <v>41803</v>
      </c>
      <c r="B1109" s="12">
        <v>2906</v>
      </c>
      <c r="C1109" s="13" t="s">
        <v>26</v>
      </c>
      <c r="D1109" s="13" t="s">
        <v>34</v>
      </c>
      <c r="E1109" s="13" t="s">
        <v>28</v>
      </c>
      <c r="F1109" s="13">
        <v>10</v>
      </c>
      <c r="G1109" s="13">
        <v>10640</v>
      </c>
      <c r="H1109" s="13">
        <v>2016.28</v>
      </c>
    </row>
    <row r="1110" spans="1:8" x14ac:dyDescent="0.35">
      <c r="A1110" s="11">
        <v>41804</v>
      </c>
      <c r="B1110" s="12">
        <v>2911</v>
      </c>
      <c r="C1110" s="13" t="s">
        <v>26</v>
      </c>
      <c r="D1110" s="13" t="s">
        <v>34</v>
      </c>
      <c r="E1110" s="13" t="s">
        <v>28</v>
      </c>
      <c r="F1110" s="13">
        <v>10</v>
      </c>
      <c r="G1110" s="13">
        <v>7980</v>
      </c>
      <c r="H1110" s="13">
        <v>4032.56</v>
      </c>
    </row>
    <row r="1111" spans="1:8" x14ac:dyDescent="0.35">
      <c r="A1111" s="11">
        <v>41805</v>
      </c>
      <c r="B1111" s="12">
        <v>2542</v>
      </c>
      <c r="C1111" s="13" t="s">
        <v>23</v>
      </c>
      <c r="D1111" s="13" t="s">
        <v>34</v>
      </c>
      <c r="E1111" s="13" t="s">
        <v>25</v>
      </c>
      <c r="F1111" s="13">
        <v>10</v>
      </c>
      <c r="G1111" s="13">
        <v>9900</v>
      </c>
      <c r="H1111" s="13">
        <v>4235.22</v>
      </c>
    </row>
    <row r="1112" spans="1:8" x14ac:dyDescent="0.35">
      <c r="A1112" s="11">
        <v>41806</v>
      </c>
      <c r="B1112" s="12">
        <v>2907</v>
      </c>
      <c r="C1112" s="13" t="s">
        <v>27</v>
      </c>
      <c r="D1112" s="13" t="s">
        <v>34</v>
      </c>
      <c r="E1112" s="13" t="s">
        <v>29</v>
      </c>
      <c r="F1112" s="13">
        <v>9</v>
      </c>
      <c r="G1112" s="13">
        <v>10485</v>
      </c>
      <c r="H1112" s="13">
        <v>2603.8449000000001</v>
      </c>
    </row>
    <row r="1113" spans="1:8" x14ac:dyDescent="0.35">
      <c r="A1113" s="11">
        <v>41807</v>
      </c>
      <c r="B1113" s="12">
        <v>2912</v>
      </c>
      <c r="C1113" s="13" t="s">
        <v>27</v>
      </c>
      <c r="D1113" s="13" t="s">
        <v>34</v>
      </c>
      <c r="E1113" s="13" t="s">
        <v>29</v>
      </c>
      <c r="F1113" s="13">
        <v>9</v>
      </c>
      <c r="G1113" s="13">
        <v>4194</v>
      </c>
      <c r="H1113" s="13">
        <v>4339.7415000000001</v>
      </c>
    </row>
    <row r="1114" spans="1:8" x14ac:dyDescent="0.35">
      <c r="A1114" s="11">
        <v>41808</v>
      </c>
      <c r="B1114" s="12">
        <v>2543</v>
      </c>
      <c r="C1114" s="13" t="s">
        <v>26</v>
      </c>
      <c r="D1114" s="13" t="s">
        <v>34</v>
      </c>
      <c r="E1114" s="13" t="s">
        <v>25</v>
      </c>
      <c r="F1114" s="13">
        <v>6</v>
      </c>
      <c r="G1114" s="13">
        <v>4576.5</v>
      </c>
      <c r="H1114" s="13">
        <v>2406.4762500000002</v>
      </c>
    </row>
    <row r="1115" spans="1:8" x14ac:dyDescent="0.35">
      <c r="A1115" s="11">
        <v>41809</v>
      </c>
      <c r="B1115" s="12">
        <v>2908</v>
      </c>
      <c r="C1115" s="13" t="s">
        <v>23</v>
      </c>
      <c r="D1115" s="13" t="s">
        <v>34</v>
      </c>
      <c r="E1115" s="13" t="s">
        <v>29</v>
      </c>
      <c r="F1115" s="13">
        <v>7</v>
      </c>
      <c r="G1115" s="13">
        <v>6090</v>
      </c>
      <c r="H1115" s="13">
        <v>2547.1425000000004</v>
      </c>
    </row>
    <row r="1116" spans="1:8" x14ac:dyDescent="0.35">
      <c r="A1116" s="11">
        <v>41810</v>
      </c>
      <c r="B1116" s="12">
        <v>2913</v>
      </c>
      <c r="C1116" s="13" t="s">
        <v>23</v>
      </c>
      <c r="D1116" s="13" t="s">
        <v>34</v>
      </c>
      <c r="E1116" s="13" t="s">
        <v>29</v>
      </c>
      <c r="F1116" s="13">
        <v>7</v>
      </c>
      <c r="G1116" s="13">
        <v>6090</v>
      </c>
      <c r="H1116" s="13">
        <v>2547.1425000000004</v>
      </c>
    </row>
    <row r="1117" spans="1:8" x14ac:dyDescent="0.35">
      <c r="A1117" s="11">
        <v>41811</v>
      </c>
      <c r="B1117" s="12">
        <v>2544</v>
      </c>
      <c r="C1117" s="13" t="s">
        <v>27</v>
      </c>
      <c r="D1117" s="13" t="s">
        <v>34</v>
      </c>
      <c r="E1117" s="13" t="s">
        <v>28</v>
      </c>
      <c r="F1117" s="13">
        <v>6</v>
      </c>
      <c r="G1117" s="13">
        <v>5292</v>
      </c>
      <c r="H1117" s="13">
        <v>3454.6175999999996</v>
      </c>
    </row>
    <row r="1118" spans="1:8" x14ac:dyDescent="0.35">
      <c r="A1118" s="11">
        <v>41812</v>
      </c>
      <c r="B1118" s="12">
        <v>2909</v>
      </c>
      <c r="C1118" s="13" t="s">
        <v>26</v>
      </c>
      <c r="D1118" s="13" t="s">
        <v>34</v>
      </c>
      <c r="E1118" s="13" t="s">
        <v>29</v>
      </c>
      <c r="F1118" s="13">
        <v>9</v>
      </c>
      <c r="G1118" s="13">
        <v>4252.5</v>
      </c>
      <c r="H1118" s="13">
        <v>680.40000000000009</v>
      </c>
    </row>
    <row r="1119" spans="1:8" x14ac:dyDescent="0.35">
      <c r="A1119" s="11">
        <v>41813</v>
      </c>
      <c r="B1119" s="12">
        <v>2914</v>
      </c>
      <c r="C1119" s="13" t="s">
        <v>26</v>
      </c>
      <c r="D1119" s="13" t="s">
        <v>34</v>
      </c>
      <c r="E1119" s="13" t="s">
        <v>29</v>
      </c>
      <c r="F1119" s="13">
        <v>9</v>
      </c>
      <c r="G1119" s="13">
        <v>4252.5</v>
      </c>
      <c r="H1119" s="13">
        <v>2041.2000000000003</v>
      </c>
    </row>
    <row r="1120" spans="1:8" x14ac:dyDescent="0.35">
      <c r="A1120" s="11">
        <v>41814</v>
      </c>
      <c r="B1120" s="12">
        <v>2915</v>
      </c>
      <c r="C1120" s="13" t="s">
        <v>23</v>
      </c>
      <c r="D1120" s="13" t="s">
        <v>34</v>
      </c>
      <c r="E1120" s="13" t="s">
        <v>25</v>
      </c>
      <c r="F1120" s="13">
        <v>8</v>
      </c>
      <c r="G1120" s="13">
        <v>4776</v>
      </c>
      <c r="H1120" s="13">
        <v>2532.4739999999997</v>
      </c>
    </row>
    <row r="1121" spans="1:8" x14ac:dyDescent="0.35">
      <c r="A1121" s="11">
        <v>41815</v>
      </c>
      <c r="B1121" s="12">
        <v>2545</v>
      </c>
      <c r="C1121" s="13" t="s">
        <v>23</v>
      </c>
      <c r="D1121" s="13" t="s">
        <v>34</v>
      </c>
      <c r="E1121" s="13" t="s">
        <v>28</v>
      </c>
      <c r="F1121" s="13">
        <v>9</v>
      </c>
      <c r="G1121" s="13">
        <v>6777</v>
      </c>
      <c r="H1121" s="13">
        <v>2062.9187999999999</v>
      </c>
    </row>
    <row r="1122" spans="1:8" x14ac:dyDescent="0.35">
      <c r="A1122" s="11">
        <v>41816</v>
      </c>
      <c r="B1122" s="12">
        <v>2546</v>
      </c>
      <c r="C1122" s="13" t="s">
        <v>26</v>
      </c>
      <c r="D1122" s="13" t="s">
        <v>34</v>
      </c>
      <c r="E1122" s="13" t="s">
        <v>28</v>
      </c>
      <c r="F1122" s="13">
        <v>9</v>
      </c>
      <c r="G1122" s="13">
        <v>5697</v>
      </c>
      <c r="H1122" s="13">
        <v>1026.5994000000001</v>
      </c>
    </row>
    <row r="1123" spans="1:8" x14ac:dyDescent="0.35">
      <c r="A1123" s="11">
        <v>41817</v>
      </c>
      <c r="B1123" s="12">
        <v>2547</v>
      </c>
      <c r="C1123" s="13" t="s">
        <v>27</v>
      </c>
      <c r="D1123" s="13" t="s">
        <v>34</v>
      </c>
      <c r="E1123" s="13" t="s">
        <v>29</v>
      </c>
      <c r="F1123" s="13">
        <v>7</v>
      </c>
      <c r="G1123" s="13">
        <v>4000.5</v>
      </c>
      <c r="H1123" s="13">
        <v>2616.3270000000002</v>
      </c>
    </row>
    <row r="1124" spans="1:8" x14ac:dyDescent="0.35">
      <c r="A1124" s="11">
        <v>41818</v>
      </c>
      <c r="B1124" s="12">
        <v>2548</v>
      </c>
      <c r="C1124" s="13" t="s">
        <v>23</v>
      </c>
      <c r="D1124" s="13" t="s">
        <v>34</v>
      </c>
      <c r="E1124" s="13" t="s">
        <v>29</v>
      </c>
      <c r="F1124" s="13">
        <v>6</v>
      </c>
      <c r="G1124" s="13">
        <v>5427</v>
      </c>
      <c r="H1124" s="13">
        <v>2658.5064000000002</v>
      </c>
    </row>
    <row r="1125" spans="1:8" x14ac:dyDescent="0.35">
      <c r="A1125" s="11">
        <v>41819</v>
      </c>
      <c r="B1125" s="12">
        <v>2549</v>
      </c>
      <c r="C1125" s="13" t="s">
        <v>26</v>
      </c>
      <c r="D1125" s="13" t="s">
        <v>34</v>
      </c>
      <c r="E1125" s="13" t="s">
        <v>29</v>
      </c>
      <c r="F1125" s="13">
        <v>7</v>
      </c>
      <c r="G1125" s="13">
        <v>3192</v>
      </c>
      <c r="H1125" s="13">
        <v>1860.6168</v>
      </c>
    </row>
    <row r="1126" spans="1:8" x14ac:dyDescent="0.35">
      <c r="A1126" s="11">
        <v>41820</v>
      </c>
      <c r="B1126" s="12">
        <v>2550</v>
      </c>
      <c r="C1126" s="13" t="s">
        <v>27</v>
      </c>
      <c r="D1126" s="13" t="s">
        <v>34</v>
      </c>
      <c r="E1126" s="13" t="s">
        <v>25</v>
      </c>
      <c r="F1126" s="13">
        <v>10</v>
      </c>
      <c r="G1126" s="13">
        <v>5175</v>
      </c>
      <c r="H1126" s="13">
        <v>541.30500000000006</v>
      </c>
    </row>
    <row r="1127" spans="1:8" x14ac:dyDescent="0.35">
      <c r="A1127" s="11">
        <v>41821</v>
      </c>
      <c r="B1127" s="12">
        <v>2551</v>
      </c>
      <c r="C1127" s="13" t="s">
        <v>23</v>
      </c>
      <c r="D1127" s="13" t="s">
        <v>34</v>
      </c>
      <c r="E1127" s="13" t="s">
        <v>25</v>
      </c>
      <c r="F1127" s="13">
        <v>10</v>
      </c>
      <c r="G1127" s="13">
        <v>10200</v>
      </c>
      <c r="H1127" s="13">
        <v>3057.5519999999997</v>
      </c>
    </row>
    <row r="1128" spans="1:8" x14ac:dyDescent="0.35">
      <c r="A1128" s="11">
        <v>41822</v>
      </c>
      <c r="B1128" s="12">
        <v>2552</v>
      </c>
      <c r="C1128" s="13" t="s">
        <v>26</v>
      </c>
      <c r="D1128" s="13" t="s">
        <v>34</v>
      </c>
      <c r="E1128" s="13" t="s">
        <v>25</v>
      </c>
      <c r="F1128" s="13">
        <v>8</v>
      </c>
      <c r="G1128" s="13">
        <v>5952</v>
      </c>
      <c r="H1128" s="13">
        <v>4679.4624000000003</v>
      </c>
    </row>
    <row r="1129" spans="1:8" x14ac:dyDescent="0.35">
      <c r="A1129" s="11">
        <v>41823</v>
      </c>
      <c r="B1129" s="12">
        <v>2553</v>
      </c>
      <c r="C1129" s="13" t="s">
        <v>27</v>
      </c>
      <c r="D1129" s="13" t="s">
        <v>34</v>
      </c>
      <c r="E1129" s="13" t="s">
        <v>28</v>
      </c>
      <c r="F1129" s="13">
        <v>9</v>
      </c>
      <c r="G1129" s="13">
        <v>2308.5</v>
      </c>
      <c r="H1129" s="13">
        <v>4884.7860000000001</v>
      </c>
    </row>
    <row r="1130" spans="1:8" x14ac:dyDescent="0.35">
      <c r="A1130" s="11">
        <v>41824</v>
      </c>
      <c r="B1130" s="12">
        <v>2554</v>
      </c>
      <c r="C1130" s="13" t="s">
        <v>23</v>
      </c>
      <c r="D1130" s="13" t="s">
        <v>34</v>
      </c>
      <c r="E1130" s="13" t="s">
        <v>28</v>
      </c>
      <c r="F1130" s="13">
        <v>9</v>
      </c>
      <c r="G1130" s="13">
        <v>6831</v>
      </c>
      <c r="H1130" s="13">
        <v>5122.1115</v>
      </c>
    </row>
    <row r="1131" spans="1:8" x14ac:dyDescent="0.35">
      <c r="A1131" s="11">
        <v>41825</v>
      </c>
      <c r="B1131" s="12">
        <v>2555</v>
      </c>
      <c r="C1131" s="13" t="s">
        <v>26</v>
      </c>
      <c r="D1131" s="13" t="s">
        <v>34</v>
      </c>
      <c r="E1131" s="13" t="s">
        <v>28</v>
      </c>
      <c r="F1131" s="13">
        <v>9</v>
      </c>
      <c r="G1131" s="13">
        <v>5872.5</v>
      </c>
      <c r="H1131" s="13">
        <v>774.97424999999998</v>
      </c>
    </row>
    <row r="1132" spans="1:8" x14ac:dyDescent="0.35">
      <c r="A1132" s="11">
        <v>41826</v>
      </c>
      <c r="B1132" s="12">
        <v>2556</v>
      </c>
      <c r="C1132" s="13" t="s">
        <v>27</v>
      </c>
      <c r="D1132" s="13" t="s">
        <v>34</v>
      </c>
      <c r="E1132" s="13" t="s">
        <v>29</v>
      </c>
      <c r="F1132" s="13">
        <v>9</v>
      </c>
      <c r="G1132" s="13">
        <v>10260</v>
      </c>
      <c r="H1132" s="13">
        <v>2513.9565000000002</v>
      </c>
    </row>
    <row r="1133" spans="1:8" x14ac:dyDescent="0.35">
      <c r="A1133" s="11">
        <v>41827</v>
      </c>
      <c r="B1133" s="12">
        <v>2557</v>
      </c>
      <c r="C1133" s="13" t="s">
        <v>23</v>
      </c>
      <c r="D1133" s="13" t="s">
        <v>34</v>
      </c>
      <c r="E1133" s="13" t="s">
        <v>29</v>
      </c>
      <c r="F1133" s="13">
        <v>6</v>
      </c>
      <c r="G1133" s="13">
        <v>5751</v>
      </c>
      <c r="H1133" s="13">
        <v>2803.4207999999999</v>
      </c>
    </row>
    <row r="1134" spans="1:8" x14ac:dyDescent="0.35">
      <c r="A1134" s="11">
        <v>41828</v>
      </c>
      <c r="B1134" s="12">
        <v>2558</v>
      </c>
      <c r="C1134" s="13" t="s">
        <v>26</v>
      </c>
      <c r="D1134" s="13" t="s">
        <v>34</v>
      </c>
      <c r="E1134" s="13" t="s">
        <v>29</v>
      </c>
      <c r="F1134" s="13">
        <v>6</v>
      </c>
      <c r="G1134" s="13">
        <v>8964</v>
      </c>
      <c r="H1134" s="13">
        <v>2641.4666999999999</v>
      </c>
    </row>
    <row r="1135" spans="1:8" x14ac:dyDescent="0.35">
      <c r="A1135" s="11">
        <v>41829</v>
      </c>
      <c r="B1135" s="12">
        <v>2559</v>
      </c>
      <c r="C1135" s="13" t="s">
        <v>27</v>
      </c>
      <c r="D1135" s="13" t="s">
        <v>34</v>
      </c>
      <c r="E1135" s="13" t="s">
        <v>25</v>
      </c>
      <c r="F1135" s="13">
        <v>7</v>
      </c>
      <c r="G1135" s="13">
        <v>4536</v>
      </c>
      <c r="H1135" s="13">
        <v>503.79839999999996</v>
      </c>
    </row>
    <row r="1136" spans="1:8" x14ac:dyDescent="0.35">
      <c r="A1136" s="11">
        <v>41828</v>
      </c>
      <c r="B1136" s="12">
        <v>2560</v>
      </c>
      <c r="C1136" s="13" t="s">
        <v>23</v>
      </c>
      <c r="D1136" s="13" t="s">
        <v>34</v>
      </c>
      <c r="E1136" s="13" t="s">
        <v>25</v>
      </c>
      <c r="F1136" s="13">
        <v>6</v>
      </c>
      <c r="G1136" s="13">
        <v>1791</v>
      </c>
      <c r="H1136" s="13">
        <v>805.23360000000002</v>
      </c>
    </row>
    <row r="1137" spans="1:8" x14ac:dyDescent="0.35">
      <c r="A1137" s="11">
        <v>41829</v>
      </c>
      <c r="B1137" s="12">
        <v>2561</v>
      </c>
      <c r="C1137" s="13" t="s">
        <v>26</v>
      </c>
      <c r="D1137" s="13" t="s">
        <v>34</v>
      </c>
      <c r="E1137" s="13" t="s">
        <v>25</v>
      </c>
      <c r="F1137" s="13">
        <v>8</v>
      </c>
      <c r="G1137" s="13">
        <v>13020</v>
      </c>
      <c r="H1137" s="13">
        <v>4309.0992000000006</v>
      </c>
    </row>
    <row r="1138" spans="1:8" x14ac:dyDescent="0.35">
      <c r="A1138" s="11">
        <v>40909</v>
      </c>
      <c r="B1138" s="12">
        <v>2616</v>
      </c>
      <c r="C1138" s="13" t="s">
        <v>27</v>
      </c>
      <c r="D1138" s="13" t="s">
        <v>35</v>
      </c>
      <c r="E1138" s="13" t="s">
        <v>28</v>
      </c>
      <c r="F1138" s="13">
        <v>8</v>
      </c>
      <c r="G1138" s="13">
        <v>9744</v>
      </c>
      <c r="H1138" s="13">
        <v>904.73039999999992</v>
      </c>
    </row>
    <row r="1139" spans="1:8" x14ac:dyDescent="0.35">
      <c r="A1139" s="11">
        <v>40910</v>
      </c>
      <c r="B1139" s="12">
        <v>2251</v>
      </c>
      <c r="C1139" s="13" t="s">
        <v>23</v>
      </c>
      <c r="D1139" s="13" t="s">
        <v>35</v>
      </c>
      <c r="E1139" s="13" t="s">
        <v>29</v>
      </c>
      <c r="F1139" s="13">
        <v>8</v>
      </c>
      <c r="G1139" s="13">
        <v>9600</v>
      </c>
      <c r="H1139" s="13">
        <v>741.12</v>
      </c>
    </row>
    <row r="1140" spans="1:8" x14ac:dyDescent="0.35">
      <c r="A1140" s="11">
        <v>40911</v>
      </c>
      <c r="B1140" s="12">
        <v>2617</v>
      </c>
      <c r="C1140" s="13" t="s">
        <v>23</v>
      </c>
      <c r="D1140" s="13" t="s">
        <v>35</v>
      </c>
      <c r="E1140" s="13" t="s">
        <v>28</v>
      </c>
      <c r="F1140" s="13">
        <v>10</v>
      </c>
      <c r="G1140" s="13">
        <v>14450</v>
      </c>
      <c r="H1140" s="13">
        <v>2875.8389999999999</v>
      </c>
    </row>
    <row r="1141" spans="1:8" x14ac:dyDescent="0.35">
      <c r="A1141" s="11">
        <v>40913</v>
      </c>
      <c r="B1141" s="12">
        <v>2252</v>
      </c>
      <c r="C1141" s="13" t="s">
        <v>26</v>
      </c>
      <c r="D1141" s="13" t="s">
        <v>35</v>
      </c>
      <c r="E1141" s="13" t="s">
        <v>29</v>
      </c>
      <c r="F1141" s="13">
        <v>10</v>
      </c>
      <c r="G1141" s="13">
        <v>10750</v>
      </c>
      <c r="H1141" s="13">
        <v>928.58500000000004</v>
      </c>
    </row>
    <row r="1142" spans="1:8" x14ac:dyDescent="0.35">
      <c r="A1142" s="11">
        <v>40914</v>
      </c>
      <c r="B1142" s="12">
        <v>2618</v>
      </c>
      <c r="C1142" s="13" t="s">
        <v>26</v>
      </c>
      <c r="D1142" s="13" t="s">
        <v>35</v>
      </c>
      <c r="E1142" s="13" t="s">
        <v>28</v>
      </c>
      <c r="F1142" s="13">
        <v>8</v>
      </c>
      <c r="G1142" s="13">
        <v>2520</v>
      </c>
      <c r="H1142" s="13">
        <v>2920.4279999999999</v>
      </c>
    </row>
    <row r="1143" spans="1:8" x14ac:dyDescent="0.35">
      <c r="A1143" s="11">
        <v>40915</v>
      </c>
      <c r="B1143" s="12">
        <v>2253</v>
      </c>
      <c r="C1143" s="13" t="s">
        <v>27</v>
      </c>
      <c r="D1143" s="13" t="s">
        <v>35</v>
      </c>
      <c r="E1143" s="13" t="s">
        <v>25</v>
      </c>
      <c r="F1143" s="13">
        <v>6</v>
      </c>
      <c r="G1143" s="13">
        <v>1674</v>
      </c>
      <c r="H1143" s="13">
        <v>571.16880000000003</v>
      </c>
    </row>
    <row r="1144" spans="1:8" x14ac:dyDescent="0.35">
      <c r="A1144" s="11">
        <v>40916</v>
      </c>
      <c r="B1144" s="12">
        <v>2619</v>
      </c>
      <c r="C1144" s="13" t="s">
        <v>27</v>
      </c>
      <c r="D1144" s="13" t="s">
        <v>35</v>
      </c>
      <c r="E1144" s="13" t="s">
        <v>29</v>
      </c>
      <c r="F1144" s="13">
        <v>8</v>
      </c>
      <c r="G1144" s="13">
        <v>6084</v>
      </c>
      <c r="H1144" s="13">
        <v>4072.2240000000002</v>
      </c>
    </row>
    <row r="1145" spans="1:8" x14ac:dyDescent="0.35">
      <c r="A1145" s="11">
        <v>40917</v>
      </c>
      <c r="B1145" s="12">
        <v>2254</v>
      </c>
      <c r="C1145" s="13" t="s">
        <v>23</v>
      </c>
      <c r="D1145" s="13" t="s">
        <v>35</v>
      </c>
      <c r="E1145" s="13" t="s">
        <v>25</v>
      </c>
      <c r="F1145" s="13">
        <v>7</v>
      </c>
      <c r="G1145" s="13">
        <v>11466</v>
      </c>
      <c r="H1145" s="13">
        <v>5305.8914999999997</v>
      </c>
    </row>
    <row r="1146" spans="1:8" x14ac:dyDescent="0.35">
      <c r="A1146" s="11">
        <v>40918</v>
      </c>
      <c r="B1146" s="12">
        <v>2620</v>
      </c>
      <c r="C1146" s="13" t="s">
        <v>23</v>
      </c>
      <c r="D1146" s="13" t="s">
        <v>35</v>
      </c>
      <c r="E1146" s="13" t="s">
        <v>29</v>
      </c>
      <c r="F1146" s="13">
        <v>9</v>
      </c>
      <c r="G1146" s="13">
        <v>2529</v>
      </c>
      <c r="H1146" s="13">
        <v>1095.3099</v>
      </c>
    </row>
    <row r="1147" spans="1:8" x14ac:dyDescent="0.35">
      <c r="A1147" s="11">
        <v>40919</v>
      </c>
      <c r="B1147" s="12">
        <v>2622</v>
      </c>
      <c r="C1147" s="13" t="s">
        <v>27</v>
      </c>
      <c r="D1147" s="13" t="s">
        <v>35</v>
      </c>
      <c r="E1147" s="13" t="s">
        <v>25</v>
      </c>
      <c r="F1147" s="13">
        <v>9</v>
      </c>
      <c r="G1147" s="13">
        <v>5386.5</v>
      </c>
      <c r="H1147" s="13">
        <v>2413.6906500000005</v>
      </c>
    </row>
    <row r="1148" spans="1:8" x14ac:dyDescent="0.35">
      <c r="A1148" s="11">
        <v>40920</v>
      </c>
      <c r="B1148" s="12">
        <v>2623</v>
      </c>
      <c r="C1148" s="13" t="s">
        <v>23</v>
      </c>
      <c r="D1148" s="13" t="s">
        <v>35</v>
      </c>
      <c r="E1148" s="13" t="s">
        <v>25</v>
      </c>
      <c r="F1148" s="13">
        <v>6</v>
      </c>
      <c r="G1148" s="13">
        <v>8928</v>
      </c>
      <c r="H1148" s="13">
        <v>3718.5120000000002</v>
      </c>
    </row>
    <row r="1149" spans="1:8" x14ac:dyDescent="0.35">
      <c r="A1149" s="11">
        <v>40921</v>
      </c>
      <c r="B1149" s="12">
        <v>2624</v>
      </c>
      <c r="C1149" s="13" t="s">
        <v>26</v>
      </c>
      <c r="D1149" s="13" t="s">
        <v>35</v>
      </c>
      <c r="E1149" s="13" t="s">
        <v>25</v>
      </c>
      <c r="F1149" s="13">
        <v>9</v>
      </c>
      <c r="G1149" s="13">
        <v>5346</v>
      </c>
      <c r="H1149" s="13">
        <v>5565.1859999999997</v>
      </c>
    </row>
    <row r="1150" spans="1:8" x14ac:dyDescent="0.35">
      <c r="A1150" s="11">
        <v>40922</v>
      </c>
      <c r="B1150" s="12">
        <v>2625</v>
      </c>
      <c r="C1150" s="13" t="s">
        <v>27</v>
      </c>
      <c r="D1150" s="13" t="s">
        <v>35</v>
      </c>
      <c r="E1150" s="13" t="s">
        <v>28</v>
      </c>
      <c r="F1150" s="13">
        <v>7</v>
      </c>
      <c r="G1150" s="13">
        <v>11103.75</v>
      </c>
      <c r="H1150" s="13">
        <v>2948.0456249999997</v>
      </c>
    </row>
    <row r="1151" spans="1:8" x14ac:dyDescent="0.35">
      <c r="A1151" s="11">
        <v>40923</v>
      </c>
      <c r="B1151" s="12">
        <v>2626</v>
      </c>
      <c r="C1151" s="13" t="s">
        <v>23</v>
      </c>
      <c r="D1151" s="13" t="s">
        <v>35</v>
      </c>
      <c r="E1151" s="13" t="s">
        <v>28</v>
      </c>
      <c r="F1151" s="13">
        <v>6</v>
      </c>
      <c r="G1151" s="13">
        <v>1872</v>
      </c>
      <c r="H1151" s="13">
        <v>1645.1136000000001</v>
      </c>
    </row>
    <row r="1152" spans="1:8" x14ac:dyDescent="0.35">
      <c r="A1152" s="11">
        <v>40924</v>
      </c>
      <c r="B1152" s="12">
        <v>2262</v>
      </c>
      <c r="C1152" s="13" t="s">
        <v>27</v>
      </c>
      <c r="D1152" s="13" t="s">
        <v>35</v>
      </c>
      <c r="E1152" s="13" t="s">
        <v>25</v>
      </c>
      <c r="F1152" s="13">
        <v>9</v>
      </c>
      <c r="G1152" s="13">
        <v>1984.5</v>
      </c>
      <c r="H1152" s="13">
        <v>1616.9705999999999</v>
      </c>
    </row>
    <row r="1153" spans="1:8" x14ac:dyDescent="0.35">
      <c r="A1153" s="11">
        <v>40925</v>
      </c>
      <c r="B1153" s="12">
        <v>2627</v>
      </c>
      <c r="C1153" s="13" t="s">
        <v>26</v>
      </c>
      <c r="D1153" s="13" t="s">
        <v>35</v>
      </c>
      <c r="E1153" s="13" t="s">
        <v>28</v>
      </c>
      <c r="F1153" s="13">
        <v>6</v>
      </c>
      <c r="G1153" s="13">
        <v>7344</v>
      </c>
      <c r="H1153" s="13">
        <v>5129.7839999999997</v>
      </c>
    </row>
    <row r="1154" spans="1:8" x14ac:dyDescent="0.35">
      <c r="A1154" s="11">
        <v>40926</v>
      </c>
      <c r="B1154" s="12">
        <v>2263</v>
      </c>
      <c r="C1154" s="13" t="s">
        <v>23</v>
      </c>
      <c r="D1154" s="13" t="s">
        <v>35</v>
      </c>
      <c r="E1154" s="13" t="s">
        <v>25</v>
      </c>
      <c r="F1154" s="13">
        <v>9</v>
      </c>
      <c r="G1154" s="13">
        <v>12645</v>
      </c>
      <c r="H1154" s="13">
        <v>2667.5892000000003</v>
      </c>
    </row>
    <row r="1155" spans="1:8" x14ac:dyDescent="0.35">
      <c r="A1155" s="11">
        <v>40927</v>
      </c>
      <c r="B1155" s="12">
        <v>2628</v>
      </c>
      <c r="C1155" s="13" t="s">
        <v>27</v>
      </c>
      <c r="D1155" s="13" t="s">
        <v>35</v>
      </c>
      <c r="E1155" s="13" t="s">
        <v>29</v>
      </c>
      <c r="F1155" s="13">
        <v>6</v>
      </c>
      <c r="G1155" s="13">
        <v>5751</v>
      </c>
      <c r="H1155" s="13">
        <v>3564.6615000000002</v>
      </c>
    </row>
    <row r="1156" spans="1:8" x14ac:dyDescent="0.35">
      <c r="A1156" s="11">
        <v>40928</v>
      </c>
      <c r="B1156" s="12">
        <v>2264</v>
      </c>
      <c r="C1156" s="13" t="s">
        <v>26</v>
      </c>
      <c r="D1156" s="13" t="s">
        <v>35</v>
      </c>
      <c r="E1156" s="13" t="s">
        <v>25</v>
      </c>
      <c r="F1156" s="13">
        <v>8</v>
      </c>
      <c r="G1156" s="13">
        <v>11952</v>
      </c>
      <c r="H1156" s="13">
        <v>2329.4447999999998</v>
      </c>
    </row>
    <row r="1157" spans="1:8" x14ac:dyDescent="0.35">
      <c r="A1157" s="11">
        <v>40929</v>
      </c>
      <c r="B1157" s="12">
        <v>2629</v>
      </c>
      <c r="C1157" s="13" t="s">
        <v>23</v>
      </c>
      <c r="D1157" s="13" t="s">
        <v>35</v>
      </c>
      <c r="E1157" s="13" t="s">
        <v>29</v>
      </c>
      <c r="F1157" s="13">
        <v>8</v>
      </c>
      <c r="G1157" s="13">
        <v>9120</v>
      </c>
      <c r="H1157" s="13">
        <v>1475.16</v>
      </c>
    </row>
    <row r="1158" spans="1:8" x14ac:dyDescent="0.35">
      <c r="A1158" s="11">
        <v>40930</v>
      </c>
      <c r="B1158" s="12">
        <v>2265</v>
      </c>
      <c r="C1158" s="13" t="s">
        <v>27</v>
      </c>
      <c r="D1158" s="13" t="s">
        <v>35</v>
      </c>
      <c r="E1158" s="13" t="s">
        <v>28</v>
      </c>
      <c r="F1158" s="13">
        <v>10</v>
      </c>
      <c r="G1158" s="13">
        <v>5520</v>
      </c>
      <c r="H1158" s="13">
        <v>4529.1600000000008</v>
      </c>
    </row>
    <row r="1159" spans="1:8" x14ac:dyDescent="0.35">
      <c r="A1159" s="11">
        <v>40931</v>
      </c>
      <c r="B1159" s="12">
        <v>2630</v>
      </c>
      <c r="C1159" s="13" t="s">
        <v>26</v>
      </c>
      <c r="D1159" s="13" t="s">
        <v>35</v>
      </c>
      <c r="E1159" s="13" t="s">
        <v>29</v>
      </c>
      <c r="F1159" s="13">
        <v>8</v>
      </c>
      <c r="G1159" s="13">
        <v>4048</v>
      </c>
      <c r="H1159" s="13">
        <v>3422.1792</v>
      </c>
    </row>
    <row r="1160" spans="1:8" x14ac:dyDescent="0.35">
      <c r="A1160" s="11">
        <v>40932</v>
      </c>
      <c r="B1160" s="12">
        <v>2266</v>
      </c>
      <c r="C1160" s="13" t="s">
        <v>23</v>
      </c>
      <c r="D1160" s="13" t="s">
        <v>35</v>
      </c>
      <c r="E1160" s="13" t="s">
        <v>28</v>
      </c>
      <c r="F1160" s="13">
        <v>8</v>
      </c>
      <c r="G1160" s="13">
        <v>2106</v>
      </c>
      <c r="H1160" s="13">
        <v>718.98839999999996</v>
      </c>
    </row>
    <row r="1161" spans="1:8" x14ac:dyDescent="0.35">
      <c r="A1161" s="11">
        <v>40933</v>
      </c>
      <c r="B1161" s="12">
        <v>2631</v>
      </c>
      <c r="C1161" s="13" t="s">
        <v>27</v>
      </c>
      <c r="D1161" s="13" t="s">
        <v>35</v>
      </c>
      <c r="E1161" s="13" t="s">
        <v>25</v>
      </c>
      <c r="F1161" s="13">
        <v>9</v>
      </c>
      <c r="G1161" s="13">
        <v>10215</v>
      </c>
      <c r="H1161" s="13">
        <v>2739.0500999999999</v>
      </c>
    </row>
    <row r="1162" spans="1:8" x14ac:dyDescent="0.35">
      <c r="A1162" s="11">
        <v>40934</v>
      </c>
      <c r="B1162" s="12">
        <v>2267</v>
      </c>
      <c r="C1162" s="13" t="s">
        <v>26</v>
      </c>
      <c r="D1162" s="13" t="s">
        <v>35</v>
      </c>
      <c r="E1162" s="13" t="s">
        <v>28</v>
      </c>
      <c r="F1162" s="13">
        <v>8</v>
      </c>
      <c r="G1162" s="13">
        <v>3960</v>
      </c>
      <c r="H1162" s="13">
        <v>1251.7560000000001</v>
      </c>
    </row>
    <row r="1163" spans="1:8" x14ac:dyDescent="0.35">
      <c r="A1163" s="11">
        <v>40935</v>
      </c>
      <c r="B1163" s="12">
        <v>2632</v>
      </c>
      <c r="C1163" s="13" t="s">
        <v>23</v>
      </c>
      <c r="D1163" s="13" t="s">
        <v>35</v>
      </c>
      <c r="E1163" s="13" t="s">
        <v>25</v>
      </c>
      <c r="F1163" s="13">
        <v>10</v>
      </c>
      <c r="G1163" s="13">
        <v>10200</v>
      </c>
      <c r="H1163" s="13">
        <v>3237.4800000000005</v>
      </c>
    </row>
    <row r="1164" spans="1:8" x14ac:dyDescent="0.35">
      <c r="A1164" s="11">
        <v>40936</v>
      </c>
      <c r="B1164" s="12">
        <v>2268</v>
      </c>
      <c r="C1164" s="13" t="s">
        <v>27</v>
      </c>
      <c r="D1164" s="13" t="s">
        <v>35</v>
      </c>
      <c r="E1164" s="13" t="s">
        <v>29</v>
      </c>
      <c r="F1164" s="13">
        <v>9</v>
      </c>
      <c r="G1164" s="13">
        <v>5022</v>
      </c>
      <c r="H1164" s="13">
        <v>1969.6284000000001</v>
      </c>
    </row>
    <row r="1165" spans="1:8" x14ac:dyDescent="0.35">
      <c r="A1165" s="11">
        <v>40937</v>
      </c>
      <c r="B1165" s="12">
        <v>2633</v>
      </c>
      <c r="C1165" s="13" t="s">
        <v>26</v>
      </c>
      <c r="D1165" s="13" t="s">
        <v>35</v>
      </c>
      <c r="E1165" s="13" t="s">
        <v>25</v>
      </c>
      <c r="F1165" s="13">
        <v>9</v>
      </c>
      <c r="G1165" s="13">
        <v>2349</v>
      </c>
      <c r="H1165" s="13">
        <v>732.88800000000003</v>
      </c>
    </row>
    <row r="1166" spans="1:8" x14ac:dyDescent="0.35">
      <c r="A1166" s="11">
        <v>40938</v>
      </c>
      <c r="B1166" s="12">
        <v>2269</v>
      </c>
      <c r="C1166" s="13" t="s">
        <v>23</v>
      </c>
      <c r="D1166" s="13" t="s">
        <v>35</v>
      </c>
      <c r="E1166" s="13" t="s">
        <v>29</v>
      </c>
      <c r="F1166" s="13">
        <v>8</v>
      </c>
      <c r="G1166" s="13">
        <v>4716</v>
      </c>
      <c r="H1166" s="13">
        <v>3420.6719999999996</v>
      </c>
    </row>
    <row r="1167" spans="1:8" x14ac:dyDescent="0.35">
      <c r="A1167" s="11">
        <v>40939</v>
      </c>
      <c r="B1167" s="12">
        <v>2634</v>
      </c>
      <c r="C1167" s="13" t="s">
        <v>27</v>
      </c>
      <c r="D1167" s="13" t="s">
        <v>35</v>
      </c>
      <c r="E1167" s="13" t="s">
        <v>28</v>
      </c>
      <c r="F1167" s="13">
        <v>10</v>
      </c>
      <c r="G1167" s="13">
        <v>8460</v>
      </c>
      <c r="H1167" s="13">
        <v>4686.84</v>
      </c>
    </row>
    <row r="1168" spans="1:8" x14ac:dyDescent="0.35">
      <c r="A1168" s="11">
        <v>40940</v>
      </c>
      <c r="B1168" s="12">
        <v>2270</v>
      </c>
      <c r="C1168" s="13" t="s">
        <v>26</v>
      </c>
      <c r="D1168" s="13" t="s">
        <v>35</v>
      </c>
      <c r="E1168" s="13" t="s">
        <v>29</v>
      </c>
      <c r="F1168" s="13">
        <v>10</v>
      </c>
      <c r="G1168" s="13">
        <v>7515</v>
      </c>
      <c r="H1168" s="13">
        <v>1917.3269999999998</v>
      </c>
    </row>
    <row r="1169" spans="1:8" x14ac:dyDescent="0.35">
      <c r="A1169" s="11">
        <v>40941</v>
      </c>
      <c r="B1169" s="12">
        <v>2635</v>
      </c>
      <c r="C1169" s="13" t="s">
        <v>23</v>
      </c>
      <c r="D1169" s="13" t="s">
        <v>35</v>
      </c>
      <c r="E1169" s="13" t="s">
        <v>28</v>
      </c>
      <c r="F1169" s="13">
        <v>7</v>
      </c>
      <c r="G1169" s="13">
        <v>4772.25</v>
      </c>
      <c r="H1169" s="13">
        <v>2592.127125</v>
      </c>
    </row>
    <row r="1170" spans="1:8" x14ac:dyDescent="0.35">
      <c r="A1170" s="11">
        <v>40942</v>
      </c>
      <c r="B1170" s="12">
        <v>2271</v>
      </c>
      <c r="C1170" s="13" t="s">
        <v>27</v>
      </c>
      <c r="D1170" s="13" t="s">
        <v>35</v>
      </c>
      <c r="E1170" s="13" t="s">
        <v>25</v>
      </c>
      <c r="F1170" s="13">
        <v>10</v>
      </c>
      <c r="G1170" s="13">
        <v>4140</v>
      </c>
      <c r="H1170" s="13">
        <v>706.077</v>
      </c>
    </row>
    <row r="1171" spans="1:8" x14ac:dyDescent="0.35">
      <c r="A1171" s="11">
        <v>40943</v>
      </c>
      <c r="B1171" s="12">
        <v>2636</v>
      </c>
      <c r="C1171" s="13" t="s">
        <v>26</v>
      </c>
      <c r="D1171" s="13" t="s">
        <v>35</v>
      </c>
      <c r="E1171" s="13" t="s">
        <v>28</v>
      </c>
      <c r="F1171" s="13">
        <v>10</v>
      </c>
      <c r="G1171" s="13">
        <v>5880</v>
      </c>
      <c r="H1171" s="13">
        <v>4880.3999999999996</v>
      </c>
    </row>
    <row r="1172" spans="1:8" x14ac:dyDescent="0.35">
      <c r="A1172" s="11">
        <v>40944</v>
      </c>
      <c r="B1172" s="12">
        <v>2272</v>
      </c>
      <c r="C1172" s="13" t="s">
        <v>23</v>
      </c>
      <c r="D1172" s="13" t="s">
        <v>35</v>
      </c>
      <c r="E1172" s="13" t="s">
        <v>25</v>
      </c>
      <c r="F1172" s="13">
        <v>9</v>
      </c>
      <c r="G1172" s="13">
        <v>8464.5</v>
      </c>
      <c r="H1172" s="13">
        <v>2866.0797000000002</v>
      </c>
    </row>
    <row r="1173" spans="1:8" x14ac:dyDescent="0.35">
      <c r="A1173" s="11">
        <v>40945</v>
      </c>
      <c r="B1173" s="12">
        <v>2637</v>
      </c>
      <c r="C1173" s="13" t="s">
        <v>27</v>
      </c>
      <c r="D1173" s="13" t="s">
        <v>35</v>
      </c>
      <c r="E1173" s="13" t="s">
        <v>29</v>
      </c>
      <c r="F1173" s="13">
        <v>10</v>
      </c>
      <c r="G1173" s="13">
        <v>8360</v>
      </c>
      <c r="H1173" s="13">
        <v>3410.0439999999999</v>
      </c>
    </row>
    <row r="1174" spans="1:8" x14ac:dyDescent="0.35">
      <c r="A1174" s="11">
        <v>40946</v>
      </c>
      <c r="B1174" s="12">
        <v>2273</v>
      </c>
      <c r="C1174" s="13" t="s">
        <v>26</v>
      </c>
      <c r="D1174" s="13" t="s">
        <v>35</v>
      </c>
      <c r="E1174" s="13" t="s">
        <v>25</v>
      </c>
      <c r="F1174" s="13">
        <v>10</v>
      </c>
      <c r="G1174" s="13">
        <v>12300</v>
      </c>
      <c r="H1174" s="13">
        <v>4463.67</v>
      </c>
    </row>
    <row r="1175" spans="1:8" x14ac:dyDescent="0.35">
      <c r="A1175" s="11">
        <v>40947</v>
      </c>
      <c r="B1175" s="12">
        <v>2638</v>
      </c>
      <c r="C1175" s="13" t="s">
        <v>23</v>
      </c>
      <c r="D1175" s="13" t="s">
        <v>35</v>
      </c>
      <c r="E1175" s="13" t="s">
        <v>29</v>
      </c>
      <c r="F1175" s="13">
        <v>9</v>
      </c>
      <c r="G1175" s="13">
        <v>1741.5</v>
      </c>
      <c r="H1175" s="13">
        <v>1337.1237000000001</v>
      </c>
    </row>
    <row r="1176" spans="1:8" x14ac:dyDescent="0.35">
      <c r="A1176" s="11">
        <v>40948</v>
      </c>
      <c r="B1176" s="12">
        <v>2274</v>
      </c>
      <c r="C1176" s="13" t="s">
        <v>27</v>
      </c>
      <c r="D1176" s="13" t="s">
        <v>35</v>
      </c>
      <c r="E1176" s="13" t="s">
        <v>28</v>
      </c>
      <c r="F1176" s="13">
        <v>7</v>
      </c>
      <c r="G1176" s="13">
        <v>1932</v>
      </c>
      <c r="H1176" s="13">
        <v>4193.4059999999999</v>
      </c>
    </row>
    <row r="1177" spans="1:8" x14ac:dyDescent="0.35">
      <c r="A1177" s="11">
        <v>40949</v>
      </c>
      <c r="B1177" s="12">
        <v>2639</v>
      </c>
      <c r="C1177" s="13" t="s">
        <v>26</v>
      </c>
      <c r="D1177" s="13" t="s">
        <v>35</v>
      </c>
      <c r="E1177" s="13" t="s">
        <v>29</v>
      </c>
      <c r="F1177" s="13">
        <v>10</v>
      </c>
      <c r="G1177" s="13">
        <v>2085</v>
      </c>
      <c r="H1177" s="13">
        <v>822.32400000000007</v>
      </c>
    </row>
    <row r="1178" spans="1:8" x14ac:dyDescent="0.35">
      <c r="A1178" s="11">
        <v>40950</v>
      </c>
      <c r="B1178" s="12">
        <v>2275</v>
      </c>
      <c r="C1178" s="13" t="s">
        <v>23</v>
      </c>
      <c r="D1178" s="13" t="s">
        <v>35</v>
      </c>
      <c r="E1178" s="13" t="s">
        <v>28</v>
      </c>
      <c r="F1178" s="13">
        <v>10</v>
      </c>
      <c r="G1178" s="13">
        <v>5640</v>
      </c>
      <c r="H1178" s="13">
        <v>2078.34</v>
      </c>
    </row>
    <row r="1179" spans="1:8" x14ac:dyDescent="0.35">
      <c r="A1179" s="11">
        <v>40951</v>
      </c>
      <c r="B1179" s="12">
        <v>2658</v>
      </c>
      <c r="C1179" s="13" t="s">
        <v>27</v>
      </c>
      <c r="D1179" s="13" t="s">
        <v>35</v>
      </c>
      <c r="E1179" s="13" t="s">
        <v>25</v>
      </c>
      <c r="F1179" s="13">
        <v>7</v>
      </c>
      <c r="G1179" s="13">
        <v>2016</v>
      </c>
      <c r="H1179" s="13">
        <v>1776.096</v>
      </c>
    </row>
    <row r="1180" spans="1:8" x14ac:dyDescent="0.35">
      <c r="A1180" s="11">
        <v>40952</v>
      </c>
      <c r="B1180" s="12">
        <v>2659</v>
      </c>
      <c r="C1180" s="13" t="s">
        <v>23</v>
      </c>
      <c r="D1180" s="13" t="s">
        <v>35</v>
      </c>
      <c r="E1180" s="13" t="s">
        <v>25</v>
      </c>
      <c r="F1180" s="13">
        <v>10</v>
      </c>
      <c r="G1180" s="13">
        <v>4890</v>
      </c>
      <c r="H1180" s="13">
        <v>926.89949999999999</v>
      </c>
    </row>
    <row r="1181" spans="1:8" x14ac:dyDescent="0.35">
      <c r="A1181" s="11">
        <v>40953</v>
      </c>
      <c r="B1181" s="12">
        <v>2660</v>
      </c>
      <c r="C1181" s="13" t="s">
        <v>26</v>
      </c>
      <c r="D1181" s="13" t="s">
        <v>35</v>
      </c>
      <c r="E1181" s="13" t="s">
        <v>25</v>
      </c>
      <c r="F1181" s="13">
        <v>10</v>
      </c>
      <c r="G1181" s="13">
        <v>8850</v>
      </c>
      <c r="H1181" s="13">
        <v>2768.28</v>
      </c>
    </row>
    <row r="1182" spans="1:8" x14ac:dyDescent="0.35">
      <c r="A1182" s="11">
        <v>40954</v>
      </c>
      <c r="B1182" s="12">
        <v>2661</v>
      </c>
      <c r="C1182" s="13" t="s">
        <v>27</v>
      </c>
      <c r="D1182" s="13" t="s">
        <v>35</v>
      </c>
      <c r="E1182" s="13" t="s">
        <v>28</v>
      </c>
      <c r="F1182" s="13">
        <v>6</v>
      </c>
      <c r="G1182" s="13">
        <v>5859</v>
      </c>
      <c r="H1182" s="13">
        <v>3330.8415000000005</v>
      </c>
    </row>
    <row r="1183" spans="1:8" x14ac:dyDescent="0.35">
      <c r="A1183" s="11">
        <v>40955</v>
      </c>
      <c r="B1183" s="12">
        <v>2662</v>
      </c>
      <c r="C1183" s="13" t="s">
        <v>23</v>
      </c>
      <c r="D1183" s="13" t="s">
        <v>35</v>
      </c>
      <c r="E1183" s="13" t="s">
        <v>28</v>
      </c>
      <c r="F1183" s="13">
        <v>10</v>
      </c>
      <c r="G1183" s="13">
        <v>7785</v>
      </c>
      <c r="H1183" s="13">
        <v>1109.1030000000001</v>
      </c>
    </row>
    <row r="1184" spans="1:8" x14ac:dyDescent="0.35">
      <c r="A1184" s="11">
        <v>40956</v>
      </c>
      <c r="B1184" s="12">
        <v>2298</v>
      </c>
      <c r="C1184" s="13" t="s">
        <v>27</v>
      </c>
      <c r="D1184" s="13" t="s">
        <v>35</v>
      </c>
      <c r="E1184" s="13" t="s">
        <v>25</v>
      </c>
      <c r="F1184" s="13">
        <v>8</v>
      </c>
      <c r="G1184" s="13">
        <v>6876</v>
      </c>
      <c r="H1184" s="13">
        <v>4302.0840000000007</v>
      </c>
    </row>
    <row r="1185" spans="1:8" x14ac:dyDescent="0.35">
      <c r="A1185" s="11">
        <v>40957</v>
      </c>
      <c r="B1185" s="12">
        <v>2383</v>
      </c>
      <c r="C1185" s="13" t="s">
        <v>23</v>
      </c>
      <c r="D1185" s="13" t="s">
        <v>35</v>
      </c>
      <c r="E1185" s="13" t="s">
        <v>28</v>
      </c>
      <c r="F1185" s="13">
        <v>10</v>
      </c>
      <c r="G1185" s="13">
        <v>11000</v>
      </c>
      <c r="H1185" s="13">
        <v>811.58</v>
      </c>
    </row>
    <row r="1186" spans="1:8" x14ac:dyDescent="0.35">
      <c r="A1186" s="11">
        <v>40958</v>
      </c>
      <c r="B1186" s="12">
        <v>2748</v>
      </c>
      <c r="C1186" s="13" t="s">
        <v>27</v>
      </c>
      <c r="D1186" s="13" t="s">
        <v>35</v>
      </c>
      <c r="E1186" s="13" t="s">
        <v>25</v>
      </c>
      <c r="F1186" s="13">
        <v>8</v>
      </c>
      <c r="G1186" s="13">
        <v>14160</v>
      </c>
      <c r="H1186" s="13">
        <v>1010.7407999999999</v>
      </c>
    </row>
    <row r="1187" spans="1:8" x14ac:dyDescent="0.35">
      <c r="A1187" s="11">
        <v>40959</v>
      </c>
      <c r="B1187" s="12">
        <v>2384</v>
      </c>
      <c r="C1187" s="13" t="s">
        <v>26</v>
      </c>
      <c r="D1187" s="13" t="s">
        <v>35</v>
      </c>
      <c r="E1187" s="13" t="s">
        <v>28</v>
      </c>
      <c r="F1187" s="13">
        <v>7</v>
      </c>
      <c r="G1187" s="13">
        <v>4851</v>
      </c>
      <c r="H1187" s="13">
        <v>2858.93685</v>
      </c>
    </row>
    <row r="1188" spans="1:8" x14ac:dyDescent="0.35">
      <c r="A1188" s="11">
        <v>40960</v>
      </c>
      <c r="B1188" s="12">
        <v>2749</v>
      </c>
      <c r="C1188" s="13" t="s">
        <v>23</v>
      </c>
      <c r="D1188" s="13" t="s">
        <v>35</v>
      </c>
      <c r="E1188" s="13" t="s">
        <v>25</v>
      </c>
      <c r="F1188" s="13">
        <v>7</v>
      </c>
      <c r="G1188" s="13">
        <v>10500</v>
      </c>
      <c r="H1188" s="13">
        <v>872.7600000000001</v>
      </c>
    </row>
    <row r="1189" spans="1:8" x14ac:dyDescent="0.35">
      <c r="A1189" s="11">
        <v>40961</v>
      </c>
      <c r="B1189" s="12">
        <v>2385</v>
      </c>
      <c r="C1189" s="13" t="s">
        <v>27</v>
      </c>
      <c r="D1189" s="13" t="s">
        <v>35</v>
      </c>
      <c r="E1189" s="13" t="s">
        <v>29</v>
      </c>
      <c r="F1189" s="13">
        <v>10</v>
      </c>
      <c r="G1189" s="13">
        <v>13700</v>
      </c>
      <c r="H1189" s="13">
        <v>2335.0279999999998</v>
      </c>
    </row>
    <row r="1190" spans="1:8" x14ac:dyDescent="0.35">
      <c r="A1190" s="11">
        <v>40962</v>
      </c>
      <c r="B1190" s="12">
        <v>2750</v>
      </c>
      <c r="C1190" s="13" t="s">
        <v>26</v>
      </c>
      <c r="D1190" s="13" t="s">
        <v>35</v>
      </c>
      <c r="E1190" s="13" t="s">
        <v>25</v>
      </c>
      <c r="F1190" s="13">
        <v>10</v>
      </c>
      <c r="G1190" s="13">
        <v>12450</v>
      </c>
      <c r="H1190" s="13">
        <v>4834.335</v>
      </c>
    </row>
    <row r="1191" spans="1:8" x14ac:dyDescent="0.35">
      <c r="A1191" s="11">
        <v>40963</v>
      </c>
      <c r="B1191" s="12">
        <v>2386</v>
      </c>
      <c r="C1191" s="13" t="s">
        <v>23</v>
      </c>
      <c r="D1191" s="13" t="s">
        <v>35</v>
      </c>
      <c r="E1191" s="13" t="s">
        <v>29</v>
      </c>
      <c r="F1191" s="13">
        <v>7</v>
      </c>
      <c r="G1191" s="13">
        <v>4368</v>
      </c>
      <c r="H1191" s="13">
        <v>3318.5880000000002</v>
      </c>
    </row>
    <row r="1192" spans="1:8" x14ac:dyDescent="0.35">
      <c r="A1192" s="11">
        <v>40964</v>
      </c>
      <c r="B1192" s="12">
        <v>2751</v>
      </c>
      <c r="C1192" s="13" t="s">
        <v>27</v>
      </c>
      <c r="D1192" s="13" t="s">
        <v>35</v>
      </c>
      <c r="E1192" s="13" t="s">
        <v>28</v>
      </c>
      <c r="F1192" s="13">
        <v>9</v>
      </c>
      <c r="G1192" s="13">
        <v>1795.5</v>
      </c>
      <c r="H1192" s="13">
        <v>1237.4585999999999</v>
      </c>
    </row>
    <row r="1193" spans="1:8" x14ac:dyDescent="0.35">
      <c r="A1193" s="11">
        <v>40965</v>
      </c>
      <c r="B1193" s="12">
        <v>2387</v>
      </c>
      <c r="C1193" s="13" t="s">
        <v>26</v>
      </c>
      <c r="D1193" s="13" t="s">
        <v>35</v>
      </c>
      <c r="E1193" s="13" t="s">
        <v>29</v>
      </c>
      <c r="F1193" s="13">
        <v>6</v>
      </c>
      <c r="G1193" s="13">
        <v>9036</v>
      </c>
      <c r="H1193" s="13">
        <v>3571.4789999999994</v>
      </c>
    </row>
    <row r="1194" spans="1:8" x14ac:dyDescent="0.35">
      <c r="A1194" s="11">
        <v>40966</v>
      </c>
      <c r="B1194" s="12">
        <v>2752</v>
      </c>
      <c r="C1194" s="13" t="s">
        <v>23</v>
      </c>
      <c r="D1194" s="13" t="s">
        <v>35</v>
      </c>
      <c r="E1194" s="13" t="s">
        <v>28</v>
      </c>
      <c r="F1194" s="13">
        <v>10</v>
      </c>
      <c r="G1194" s="13">
        <v>8100</v>
      </c>
      <c r="H1194" s="13">
        <v>1702.2149999999999</v>
      </c>
    </row>
    <row r="1195" spans="1:8" x14ac:dyDescent="0.35">
      <c r="A1195" s="11">
        <v>40967</v>
      </c>
      <c r="B1195" s="12">
        <v>2388</v>
      </c>
      <c r="C1195" s="13" t="s">
        <v>27</v>
      </c>
      <c r="D1195" s="13" t="s">
        <v>35</v>
      </c>
      <c r="E1195" s="13" t="s">
        <v>25</v>
      </c>
      <c r="F1195" s="13">
        <v>7</v>
      </c>
      <c r="G1195" s="13">
        <v>1669.5</v>
      </c>
      <c r="H1195" s="13">
        <v>3289.7497500000004</v>
      </c>
    </row>
    <row r="1196" spans="1:8" x14ac:dyDescent="0.35">
      <c r="A1196" s="11">
        <v>40969</v>
      </c>
      <c r="B1196" s="12">
        <v>2753</v>
      </c>
      <c r="C1196" s="13" t="s">
        <v>26</v>
      </c>
      <c r="D1196" s="13" t="s">
        <v>35</v>
      </c>
      <c r="E1196" s="13" t="s">
        <v>28</v>
      </c>
      <c r="F1196" s="13">
        <v>8</v>
      </c>
      <c r="G1196" s="13">
        <v>6888</v>
      </c>
      <c r="H1196" s="13">
        <v>1569.5455999999999</v>
      </c>
    </row>
    <row r="1197" spans="1:8" x14ac:dyDescent="0.35">
      <c r="A1197" s="11">
        <v>40970</v>
      </c>
      <c r="B1197" s="12">
        <v>2389</v>
      </c>
      <c r="C1197" s="13" t="s">
        <v>23</v>
      </c>
      <c r="D1197" s="13" t="s">
        <v>35</v>
      </c>
      <c r="E1197" s="13" t="s">
        <v>25</v>
      </c>
      <c r="F1197" s="13">
        <v>8</v>
      </c>
      <c r="G1197" s="13">
        <v>3744</v>
      </c>
      <c r="H1197" s="13">
        <v>681.40800000000002</v>
      </c>
    </row>
    <row r="1198" spans="1:8" x14ac:dyDescent="0.35">
      <c r="A1198" s="11">
        <v>40971</v>
      </c>
      <c r="B1198" s="12">
        <v>2754</v>
      </c>
      <c r="C1198" s="13" t="s">
        <v>27</v>
      </c>
      <c r="D1198" s="13" t="s">
        <v>35</v>
      </c>
      <c r="E1198" s="13" t="s">
        <v>29</v>
      </c>
      <c r="F1198" s="13">
        <v>10</v>
      </c>
      <c r="G1198" s="13">
        <v>2205</v>
      </c>
      <c r="H1198" s="13">
        <v>665.68949999999995</v>
      </c>
    </row>
    <row r="1199" spans="1:8" x14ac:dyDescent="0.35">
      <c r="A1199" s="11">
        <v>40972</v>
      </c>
      <c r="B1199" s="12">
        <v>2390</v>
      </c>
      <c r="C1199" s="13" t="s">
        <v>26</v>
      </c>
      <c r="D1199" s="13" t="s">
        <v>35</v>
      </c>
      <c r="E1199" s="13" t="s">
        <v>25</v>
      </c>
      <c r="F1199" s="13">
        <v>8</v>
      </c>
      <c r="G1199" s="13">
        <v>11200</v>
      </c>
      <c r="H1199" s="13">
        <v>1729.28</v>
      </c>
    </row>
    <row r="1200" spans="1:8" x14ac:dyDescent="0.35">
      <c r="A1200" s="11">
        <v>40973</v>
      </c>
      <c r="B1200" s="12">
        <v>2755</v>
      </c>
      <c r="C1200" s="13" t="s">
        <v>23</v>
      </c>
      <c r="D1200" s="13" t="s">
        <v>35</v>
      </c>
      <c r="E1200" s="13" t="s">
        <v>29</v>
      </c>
      <c r="F1200" s="13">
        <v>9</v>
      </c>
      <c r="G1200" s="13">
        <v>8676</v>
      </c>
      <c r="H1200" s="13">
        <v>2805.1677</v>
      </c>
    </row>
    <row r="1201" spans="1:8" x14ac:dyDescent="0.35">
      <c r="A1201" s="11">
        <v>41339</v>
      </c>
      <c r="B1201" s="12">
        <v>2391</v>
      </c>
      <c r="C1201" s="13" t="s">
        <v>27</v>
      </c>
      <c r="D1201" s="13" t="s">
        <v>35</v>
      </c>
      <c r="E1201" s="13" t="s">
        <v>28</v>
      </c>
      <c r="F1201" s="13">
        <v>6</v>
      </c>
      <c r="G1201" s="13">
        <v>5292</v>
      </c>
      <c r="H1201" s="13">
        <v>3653.2439999999997</v>
      </c>
    </row>
    <row r="1202" spans="1:8" x14ac:dyDescent="0.35">
      <c r="A1202" s="11">
        <v>41340</v>
      </c>
      <c r="B1202" s="12">
        <v>2756</v>
      </c>
      <c r="C1202" s="13" t="s">
        <v>26</v>
      </c>
      <c r="D1202" s="13" t="s">
        <v>35</v>
      </c>
      <c r="E1202" s="13" t="s">
        <v>29</v>
      </c>
      <c r="F1202" s="13">
        <v>9</v>
      </c>
      <c r="G1202" s="13">
        <v>6048</v>
      </c>
      <c r="H1202" s="13">
        <v>1563.1056000000001</v>
      </c>
    </row>
    <row r="1203" spans="1:8" x14ac:dyDescent="0.35">
      <c r="A1203" s="11">
        <v>41341</v>
      </c>
      <c r="B1203" s="12">
        <v>2392</v>
      </c>
      <c r="C1203" s="13" t="s">
        <v>23</v>
      </c>
      <c r="D1203" s="13" t="s">
        <v>35</v>
      </c>
      <c r="E1203" s="13" t="s">
        <v>28</v>
      </c>
      <c r="F1203" s="13">
        <v>6</v>
      </c>
      <c r="G1203" s="13">
        <v>7371</v>
      </c>
      <c r="H1203" s="13">
        <v>2491.3980000000001</v>
      </c>
    </row>
    <row r="1204" spans="1:8" x14ac:dyDescent="0.35">
      <c r="A1204" s="11">
        <v>41342</v>
      </c>
      <c r="B1204" s="12">
        <v>2757</v>
      </c>
      <c r="C1204" s="13" t="s">
        <v>27</v>
      </c>
      <c r="D1204" s="13" t="s">
        <v>35</v>
      </c>
      <c r="E1204" s="13" t="s">
        <v>25</v>
      </c>
      <c r="F1204" s="13">
        <v>7</v>
      </c>
      <c r="G1204" s="13">
        <v>4221</v>
      </c>
      <c r="H1204" s="13">
        <v>4334.9669999999996</v>
      </c>
    </row>
    <row r="1205" spans="1:8" x14ac:dyDescent="0.35">
      <c r="A1205" s="11">
        <v>41343</v>
      </c>
      <c r="B1205" s="12">
        <v>2393</v>
      </c>
      <c r="C1205" s="13" t="s">
        <v>26</v>
      </c>
      <c r="D1205" s="13" t="s">
        <v>35</v>
      </c>
      <c r="E1205" s="13" t="s">
        <v>28</v>
      </c>
      <c r="F1205" s="13">
        <v>8</v>
      </c>
      <c r="G1205" s="13">
        <v>10880</v>
      </c>
      <c r="H1205" s="13">
        <v>2310.2592</v>
      </c>
    </row>
    <row r="1206" spans="1:8" x14ac:dyDescent="0.35">
      <c r="A1206" s="11">
        <v>41344</v>
      </c>
      <c r="B1206" s="12">
        <v>2758</v>
      </c>
      <c r="C1206" s="13" t="s">
        <v>23</v>
      </c>
      <c r="D1206" s="13" t="s">
        <v>35</v>
      </c>
      <c r="E1206" s="13" t="s">
        <v>25</v>
      </c>
      <c r="F1206" s="13">
        <v>7</v>
      </c>
      <c r="G1206" s="13">
        <v>10710</v>
      </c>
      <c r="H1206" s="13">
        <v>5527.6987499999996</v>
      </c>
    </row>
    <row r="1207" spans="1:8" x14ac:dyDescent="0.35">
      <c r="A1207" s="11">
        <v>41345</v>
      </c>
      <c r="B1207" s="12">
        <v>2394</v>
      </c>
      <c r="C1207" s="13" t="s">
        <v>27</v>
      </c>
      <c r="D1207" s="13" t="s">
        <v>35</v>
      </c>
      <c r="E1207" s="13" t="s">
        <v>29</v>
      </c>
      <c r="F1207" s="13">
        <v>10</v>
      </c>
      <c r="G1207" s="13">
        <v>2000</v>
      </c>
      <c r="H1207" s="13">
        <v>623.80000000000007</v>
      </c>
    </row>
    <row r="1208" spans="1:8" x14ac:dyDescent="0.35">
      <c r="A1208" s="11">
        <v>41346</v>
      </c>
      <c r="B1208" s="12">
        <v>2759</v>
      </c>
      <c r="C1208" s="13" t="s">
        <v>26</v>
      </c>
      <c r="D1208" s="13" t="s">
        <v>35</v>
      </c>
      <c r="E1208" s="13" t="s">
        <v>25</v>
      </c>
      <c r="F1208" s="13">
        <v>9</v>
      </c>
      <c r="G1208" s="13">
        <v>9045</v>
      </c>
      <c r="H1208" s="13">
        <v>545.95619999999997</v>
      </c>
    </row>
    <row r="1209" spans="1:8" x14ac:dyDescent="0.35">
      <c r="A1209" s="11">
        <v>41347</v>
      </c>
      <c r="B1209" s="12">
        <v>2395</v>
      </c>
      <c r="C1209" s="13" t="s">
        <v>23</v>
      </c>
      <c r="D1209" s="13" t="s">
        <v>35</v>
      </c>
      <c r="E1209" s="13" t="s">
        <v>29</v>
      </c>
      <c r="F1209" s="13">
        <v>10</v>
      </c>
      <c r="G1209" s="13">
        <v>5400</v>
      </c>
      <c r="H1209" s="13">
        <v>5366.25</v>
      </c>
    </row>
    <row r="1210" spans="1:8" x14ac:dyDescent="0.35">
      <c r="A1210" s="11">
        <v>41348</v>
      </c>
      <c r="B1210" s="12">
        <v>2760</v>
      </c>
      <c r="C1210" s="13" t="s">
        <v>27</v>
      </c>
      <c r="D1210" s="13" t="s">
        <v>35</v>
      </c>
      <c r="E1210" s="13" t="s">
        <v>28</v>
      </c>
      <c r="F1210" s="13">
        <v>8</v>
      </c>
      <c r="G1210" s="13">
        <v>9248</v>
      </c>
      <c r="H1210" s="13">
        <v>985.14319999999998</v>
      </c>
    </row>
    <row r="1211" spans="1:8" x14ac:dyDescent="0.35">
      <c r="A1211" s="11">
        <v>41349</v>
      </c>
      <c r="B1211" s="12">
        <v>2396</v>
      </c>
      <c r="C1211" s="13" t="s">
        <v>26</v>
      </c>
      <c r="D1211" s="13" t="s">
        <v>35</v>
      </c>
      <c r="E1211" s="13" t="s">
        <v>29</v>
      </c>
      <c r="F1211" s="13">
        <v>8</v>
      </c>
      <c r="G1211" s="13">
        <v>4496</v>
      </c>
      <c r="H1211" s="13">
        <v>842.32559999999989</v>
      </c>
    </row>
    <row r="1212" spans="1:8" x14ac:dyDescent="0.35">
      <c r="A1212" s="11">
        <v>41350</v>
      </c>
      <c r="B1212" s="12">
        <v>2761</v>
      </c>
      <c r="C1212" s="13" t="s">
        <v>23</v>
      </c>
      <c r="D1212" s="13" t="s">
        <v>35</v>
      </c>
      <c r="E1212" s="13" t="s">
        <v>28</v>
      </c>
      <c r="F1212" s="13">
        <v>9</v>
      </c>
      <c r="G1212" s="13">
        <v>8842.5</v>
      </c>
      <c r="H1212" s="13">
        <v>1452.6459</v>
      </c>
    </row>
    <row r="1213" spans="1:8" x14ac:dyDescent="0.35">
      <c r="A1213" s="11">
        <v>41351</v>
      </c>
      <c r="B1213" s="12">
        <v>2397</v>
      </c>
      <c r="C1213" s="13" t="s">
        <v>27</v>
      </c>
      <c r="D1213" s="13" t="s">
        <v>35</v>
      </c>
      <c r="E1213" s="13" t="s">
        <v>25</v>
      </c>
      <c r="F1213" s="13">
        <v>6</v>
      </c>
      <c r="G1213" s="13">
        <v>4446</v>
      </c>
      <c r="H1213" s="13">
        <v>2164.7574000000004</v>
      </c>
    </row>
    <row r="1214" spans="1:8" x14ac:dyDescent="0.35">
      <c r="A1214" s="11">
        <v>41352</v>
      </c>
      <c r="B1214" s="12">
        <v>2762</v>
      </c>
      <c r="C1214" s="13" t="s">
        <v>26</v>
      </c>
      <c r="D1214" s="13" t="s">
        <v>35</v>
      </c>
      <c r="E1214" s="13" t="s">
        <v>28</v>
      </c>
      <c r="F1214" s="13">
        <v>10</v>
      </c>
      <c r="G1214" s="13">
        <v>5760</v>
      </c>
      <c r="H1214" s="13">
        <v>2762.4960000000001</v>
      </c>
    </row>
    <row r="1215" spans="1:8" x14ac:dyDescent="0.35">
      <c r="A1215" s="11">
        <v>41353</v>
      </c>
      <c r="B1215" s="12">
        <v>2398</v>
      </c>
      <c r="C1215" s="13" t="s">
        <v>23</v>
      </c>
      <c r="D1215" s="13" t="s">
        <v>35</v>
      </c>
      <c r="E1215" s="13" t="s">
        <v>25</v>
      </c>
      <c r="F1215" s="13">
        <v>9</v>
      </c>
      <c r="G1215" s="13">
        <v>2214</v>
      </c>
      <c r="H1215" s="13">
        <v>3928.7429999999999</v>
      </c>
    </row>
    <row r="1216" spans="1:8" x14ac:dyDescent="0.35">
      <c r="A1216" s="11">
        <v>41354</v>
      </c>
      <c r="B1216" s="12">
        <v>2763</v>
      </c>
      <c r="C1216" s="13" t="s">
        <v>27</v>
      </c>
      <c r="D1216" s="13" t="s">
        <v>35</v>
      </c>
      <c r="E1216" s="13" t="s">
        <v>29</v>
      </c>
      <c r="F1216" s="13">
        <v>9</v>
      </c>
      <c r="G1216" s="13">
        <v>9585</v>
      </c>
      <c r="H1216" s="13">
        <v>1387.1412</v>
      </c>
    </row>
    <row r="1217" spans="1:8" x14ac:dyDescent="0.35">
      <c r="A1217" s="11">
        <v>41355</v>
      </c>
      <c r="B1217" s="12">
        <v>2399</v>
      </c>
      <c r="C1217" s="13" t="s">
        <v>26</v>
      </c>
      <c r="D1217" s="13" t="s">
        <v>35</v>
      </c>
      <c r="E1217" s="13" t="s">
        <v>25</v>
      </c>
      <c r="F1217" s="13">
        <v>8</v>
      </c>
      <c r="G1217" s="13">
        <v>1926</v>
      </c>
      <c r="H1217" s="13">
        <v>1205.6759999999999</v>
      </c>
    </row>
    <row r="1218" spans="1:8" x14ac:dyDescent="0.35">
      <c r="A1218" s="11">
        <v>41356</v>
      </c>
      <c r="B1218" s="12">
        <v>2764</v>
      </c>
      <c r="C1218" s="13" t="s">
        <v>23</v>
      </c>
      <c r="D1218" s="13" t="s">
        <v>35</v>
      </c>
      <c r="E1218" s="13" t="s">
        <v>29</v>
      </c>
      <c r="F1218" s="13">
        <v>7</v>
      </c>
      <c r="G1218" s="13">
        <v>6384</v>
      </c>
      <c r="H1218" s="13">
        <v>3173.6459999999997</v>
      </c>
    </row>
    <row r="1219" spans="1:8" x14ac:dyDescent="0.35">
      <c r="A1219" s="11">
        <v>41357</v>
      </c>
      <c r="B1219" s="12">
        <v>2400</v>
      </c>
      <c r="C1219" s="13" t="s">
        <v>27</v>
      </c>
      <c r="D1219" s="13" t="s">
        <v>35</v>
      </c>
      <c r="E1219" s="13" t="s">
        <v>28</v>
      </c>
      <c r="F1219" s="13">
        <v>8</v>
      </c>
      <c r="G1219" s="13">
        <v>11160</v>
      </c>
      <c r="H1219" s="13">
        <v>4388.1120000000001</v>
      </c>
    </row>
    <row r="1220" spans="1:8" x14ac:dyDescent="0.35">
      <c r="A1220" s="11">
        <v>41358</v>
      </c>
      <c r="B1220" s="12">
        <v>2765</v>
      </c>
      <c r="C1220" s="13" t="s">
        <v>26</v>
      </c>
      <c r="D1220" s="13" t="s">
        <v>35</v>
      </c>
      <c r="E1220" s="13" t="s">
        <v>29</v>
      </c>
      <c r="F1220" s="13">
        <v>10</v>
      </c>
      <c r="G1220" s="13">
        <v>11250</v>
      </c>
      <c r="H1220" s="13">
        <v>2397.6000000000004</v>
      </c>
    </row>
    <row r="1221" spans="1:8" x14ac:dyDescent="0.35">
      <c r="A1221" s="11">
        <v>41359</v>
      </c>
      <c r="B1221" s="12">
        <v>2401</v>
      </c>
      <c r="C1221" s="13" t="s">
        <v>23</v>
      </c>
      <c r="D1221" s="13" t="s">
        <v>35</v>
      </c>
      <c r="E1221" s="13" t="s">
        <v>28</v>
      </c>
      <c r="F1221" s="13">
        <v>8</v>
      </c>
      <c r="G1221" s="13">
        <v>5640</v>
      </c>
      <c r="H1221" s="13">
        <v>2969.46</v>
      </c>
    </row>
    <row r="1222" spans="1:8" x14ac:dyDescent="0.35">
      <c r="A1222" s="11">
        <v>41360</v>
      </c>
      <c r="B1222" s="12">
        <v>2402</v>
      </c>
      <c r="C1222" s="13" t="s">
        <v>26</v>
      </c>
      <c r="D1222" s="13" t="s">
        <v>35</v>
      </c>
      <c r="E1222" s="13" t="s">
        <v>28</v>
      </c>
      <c r="F1222" s="13">
        <v>10</v>
      </c>
      <c r="G1222" s="13">
        <v>1635</v>
      </c>
      <c r="H1222" s="13">
        <v>612.9615</v>
      </c>
    </row>
    <row r="1223" spans="1:8" x14ac:dyDescent="0.35">
      <c r="A1223" s="11">
        <v>41361</v>
      </c>
      <c r="B1223" s="12">
        <v>2403</v>
      </c>
      <c r="C1223" s="13" t="s">
        <v>27</v>
      </c>
      <c r="D1223" s="13" t="s">
        <v>35</v>
      </c>
      <c r="E1223" s="13" t="s">
        <v>29</v>
      </c>
      <c r="F1223" s="13">
        <v>8</v>
      </c>
      <c r="G1223" s="13">
        <v>9216</v>
      </c>
      <c r="H1223" s="13">
        <v>2406.7583999999997</v>
      </c>
    </row>
    <row r="1224" spans="1:8" x14ac:dyDescent="0.35">
      <c r="A1224" s="11">
        <v>41362</v>
      </c>
      <c r="B1224" s="12">
        <v>2404</v>
      </c>
      <c r="C1224" s="13" t="s">
        <v>23</v>
      </c>
      <c r="D1224" s="13" t="s">
        <v>35</v>
      </c>
      <c r="E1224" s="13" t="s">
        <v>29</v>
      </c>
      <c r="F1224" s="13">
        <v>10</v>
      </c>
      <c r="G1224" s="13">
        <v>7620</v>
      </c>
      <c r="H1224" s="13">
        <v>1853.3745000000001</v>
      </c>
    </row>
    <row r="1225" spans="1:8" x14ac:dyDescent="0.35">
      <c r="A1225" s="11">
        <v>41363</v>
      </c>
      <c r="B1225" s="12">
        <v>2405</v>
      </c>
      <c r="C1225" s="13" t="s">
        <v>26</v>
      </c>
      <c r="D1225" s="13" t="s">
        <v>35</v>
      </c>
      <c r="E1225" s="13" t="s">
        <v>29</v>
      </c>
      <c r="F1225" s="13">
        <v>10</v>
      </c>
      <c r="G1225" s="13">
        <v>5970</v>
      </c>
      <c r="H1225" s="13">
        <v>5246.1374999999998</v>
      </c>
    </row>
    <row r="1226" spans="1:8" x14ac:dyDescent="0.35">
      <c r="A1226" s="11">
        <v>41364</v>
      </c>
      <c r="B1226" s="12">
        <v>2775</v>
      </c>
      <c r="C1226" s="13" t="s">
        <v>27</v>
      </c>
      <c r="D1226" s="13" t="s">
        <v>35</v>
      </c>
      <c r="E1226" s="13" t="s">
        <v>25</v>
      </c>
      <c r="F1226" s="13">
        <v>10</v>
      </c>
      <c r="G1226" s="13">
        <v>6060</v>
      </c>
      <c r="H1226" s="13">
        <v>1452.7839999999999</v>
      </c>
    </row>
    <row r="1227" spans="1:8" x14ac:dyDescent="0.35">
      <c r="A1227" s="11">
        <v>41365</v>
      </c>
      <c r="B1227" s="12">
        <v>2411</v>
      </c>
      <c r="C1227" s="13" t="s">
        <v>26</v>
      </c>
      <c r="D1227" s="13" t="s">
        <v>35</v>
      </c>
      <c r="E1227" s="13" t="s">
        <v>28</v>
      </c>
      <c r="F1227" s="13">
        <v>8</v>
      </c>
      <c r="G1227" s="13">
        <v>5724</v>
      </c>
      <c r="H1227" s="13">
        <v>849.44159999999999</v>
      </c>
    </row>
    <row r="1228" spans="1:8" x14ac:dyDescent="0.35">
      <c r="A1228" s="11">
        <v>41366</v>
      </c>
      <c r="B1228" s="12">
        <v>2776</v>
      </c>
      <c r="C1228" s="13" t="s">
        <v>23</v>
      </c>
      <c r="D1228" s="13" t="s">
        <v>35</v>
      </c>
      <c r="E1228" s="13" t="s">
        <v>25</v>
      </c>
      <c r="F1228" s="13">
        <v>10</v>
      </c>
      <c r="G1228" s="13">
        <v>10350</v>
      </c>
      <c r="H1228" s="13">
        <v>683.51400000000001</v>
      </c>
    </row>
    <row r="1229" spans="1:8" x14ac:dyDescent="0.35">
      <c r="A1229" s="11">
        <v>41367</v>
      </c>
      <c r="B1229" s="12">
        <v>2412</v>
      </c>
      <c r="C1229" s="13" t="s">
        <v>27</v>
      </c>
      <c r="D1229" s="13" t="s">
        <v>35</v>
      </c>
      <c r="E1229" s="13" t="s">
        <v>29</v>
      </c>
      <c r="F1229" s="13">
        <v>6</v>
      </c>
      <c r="G1229" s="13">
        <v>11475</v>
      </c>
      <c r="H1229" s="13">
        <v>3490.2359999999999</v>
      </c>
    </row>
    <row r="1230" spans="1:8" x14ac:dyDescent="0.35">
      <c r="A1230" s="11">
        <v>41368</v>
      </c>
      <c r="B1230" s="12">
        <v>2777</v>
      </c>
      <c r="C1230" s="13" t="s">
        <v>26</v>
      </c>
      <c r="D1230" s="13" t="s">
        <v>35</v>
      </c>
      <c r="E1230" s="13" t="s">
        <v>25</v>
      </c>
      <c r="F1230" s="13">
        <v>9</v>
      </c>
      <c r="G1230" s="13">
        <v>6831</v>
      </c>
      <c r="H1230" s="13">
        <v>852.96420000000001</v>
      </c>
    </row>
    <row r="1231" spans="1:8" x14ac:dyDescent="0.35">
      <c r="A1231" s="11">
        <v>41369</v>
      </c>
      <c r="B1231" s="12">
        <v>2413</v>
      </c>
      <c r="C1231" s="13" t="s">
        <v>23</v>
      </c>
      <c r="D1231" s="13" t="s">
        <v>35</v>
      </c>
      <c r="E1231" s="13" t="s">
        <v>29</v>
      </c>
      <c r="F1231" s="13">
        <v>6</v>
      </c>
      <c r="G1231" s="13">
        <v>5062.5</v>
      </c>
      <c r="H1231" s="13">
        <v>1971.84375</v>
      </c>
    </row>
    <row r="1232" spans="1:8" x14ac:dyDescent="0.35">
      <c r="A1232" s="11">
        <v>41370</v>
      </c>
      <c r="B1232" s="12">
        <v>2778</v>
      </c>
      <c r="C1232" s="13" t="s">
        <v>27</v>
      </c>
      <c r="D1232" s="13" t="s">
        <v>35</v>
      </c>
      <c r="E1232" s="13" t="s">
        <v>28</v>
      </c>
      <c r="F1232" s="13">
        <v>6</v>
      </c>
      <c r="G1232" s="13">
        <v>5778</v>
      </c>
      <c r="H1232" s="13">
        <v>2354.5349999999999</v>
      </c>
    </row>
    <row r="1233" spans="1:8" x14ac:dyDescent="0.35">
      <c r="A1233" s="11">
        <v>41371</v>
      </c>
      <c r="B1233" s="12">
        <v>2414</v>
      </c>
      <c r="C1233" s="13" t="s">
        <v>26</v>
      </c>
      <c r="D1233" s="13" t="s">
        <v>35</v>
      </c>
      <c r="E1233" s="13" t="s">
        <v>29</v>
      </c>
      <c r="F1233" s="13">
        <v>9</v>
      </c>
      <c r="G1233" s="13">
        <v>13432.5</v>
      </c>
      <c r="H1233" s="13">
        <v>2267.4059999999999</v>
      </c>
    </row>
    <row r="1234" spans="1:8" x14ac:dyDescent="0.35">
      <c r="A1234" s="11">
        <v>41372</v>
      </c>
      <c r="B1234" s="12">
        <v>2779</v>
      </c>
      <c r="C1234" s="13" t="s">
        <v>23</v>
      </c>
      <c r="D1234" s="13" t="s">
        <v>35</v>
      </c>
      <c r="E1234" s="13" t="s">
        <v>28</v>
      </c>
      <c r="F1234" s="13">
        <v>8</v>
      </c>
      <c r="G1234" s="13">
        <v>6516</v>
      </c>
      <c r="H1234" s="13">
        <v>683.31119999999999</v>
      </c>
    </row>
    <row r="1235" spans="1:8" x14ac:dyDescent="0.35">
      <c r="A1235" s="11">
        <v>41373</v>
      </c>
      <c r="B1235" s="12">
        <v>2415</v>
      </c>
      <c r="C1235" s="13" t="s">
        <v>27</v>
      </c>
      <c r="D1235" s="13" t="s">
        <v>35</v>
      </c>
      <c r="E1235" s="13" t="s">
        <v>25</v>
      </c>
      <c r="F1235" s="13">
        <v>10</v>
      </c>
      <c r="G1235" s="13">
        <v>7575</v>
      </c>
      <c r="H1235" s="13">
        <v>578.73</v>
      </c>
    </row>
    <row r="1236" spans="1:8" x14ac:dyDescent="0.35">
      <c r="A1236" s="11">
        <v>41374</v>
      </c>
      <c r="B1236" s="12">
        <v>2780</v>
      </c>
      <c r="C1236" s="13" t="s">
        <v>26</v>
      </c>
      <c r="D1236" s="13" t="s">
        <v>35</v>
      </c>
      <c r="E1236" s="13" t="s">
        <v>28</v>
      </c>
      <c r="F1236" s="13">
        <v>6</v>
      </c>
      <c r="G1236" s="13">
        <v>6084</v>
      </c>
      <c r="H1236" s="13">
        <v>1423.1997000000001</v>
      </c>
    </row>
    <row r="1237" spans="1:8" x14ac:dyDescent="0.35">
      <c r="A1237" s="11">
        <v>41375</v>
      </c>
      <c r="B1237" s="12">
        <v>2416</v>
      </c>
      <c r="C1237" s="13" t="s">
        <v>23</v>
      </c>
      <c r="D1237" s="13" t="s">
        <v>35</v>
      </c>
      <c r="E1237" s="13" t="s">
        <v>25</v>
      </c>
      <c r="F1237" s="13">
        <v>9</v>
      </c>
      <c r="G1237" s="13">
        <v>12487.5</v>
      </c>
      <c r="H1237" s="13">
        <v>912.33675000000005</v>
      </c>
    </row>
    <row r="1238" spans="1:8" x14ac:dyDescent="0.35">
      <c r="A1238" s="11">
        <v>41376</v>
      </c>
      <c r="B1238" s="12">
        <v>2781</v>
      </c>
      <c r="C1238" s="13" t="s">
        <v>27</v>
      </c>
      <c r="D1238" s="13" t="s">
        <v>35</v>
      </c>
      <c r="E1238" s="13" t="s">
        <v>29</v>
      </c>
      <c r="F1238" s="13">
        <v>9</v>
      </c>
      <c r="G1238" s="13">
        <v>7506</v>
      </c>
      <c r="H1238" s="13">
        <v>754.35299999999995</v>
      </c>
    </row>
    <row r="1239" spans="1:8" x14ac:dyDescent="0.35">
      <c r="A1239" s="11">
        <v>41377</v>
      </c>
      <c r="B1239" s="12">
        <v>2417</v>
      </c>
      <c r="C1239" s="13" t="s">
        <v>26</v>
      </c>
      <c r="D1239" s="13" t="s">
        <v>35</v>
      </c>
      <c r="E1239" s="13" t="s">
        <v>25</v>
      </c>
      <c r="F1239" s="13">
        <v>7</v>
      </c>
      <c r="G1239" s="13">
        <v>12022.5</v>
      </c>
      <c r="H1239" s="13">
        <v>4181.9063999999998</v>
      </c>
    </row>
    <row r="1240" spans="1:8" x14ac:dyDescent="0.35">
      <c r="A1240" s="11">
        <v>41378</v>
      </c>
      <c r="B1240" s="12">
        <v>2782</v>
      </c>
      <c r="C1240" s="13" t="s">
        <v>23</v>
      </c>
      <c r="D1240" s="13" t="s">
        <v>35</v>
      </c>
      <c r="E1240" s="13" t="s">
        <v>29</v>
      </c>
      <c r="F1240" s="13">
        <v>9</v>
      </c>
      <c r="G1240" s="13">
        <v>4266</v>
      </c>
      <c r="H1240" s="13">
        <v>1736.2619999999997</v>
      </c>
    </row>
    <row r="1241" spans="1:8" x14ac:dyDescent="0.35">
      <c r="A1241" s="11">
        <v>41379</v>
      </c>
      <c r="B1241" s="12">
        <v>2418</v>
      </c>
      <c r="C1241" s="13" t="s">
        <v>27</v>
      </c>
      <c r="D1241" s="13" t="s">
        <v>35</v>
      </c>
      <c r="E1241" s="13" t="s">
        <v>28</v>
      </c>
      <c r="F1241" s="13">
        <v>7</v>
      </c>
      <c r="G1241" s="13">
        <v>3370.5</v>
      </c>
      <c r="H1241" s="13">
        <v>2058.7013999999999</v>
      </c>
    </row>
    <row r="1242" spans="1:8" x14ac:dyDescent="0.35">
      <c r="A1242" s="11">
        <v>41380</v>
      </c>
      <c r="B1242" s="12">
        <v>2783</v>
      </c>
      <c r="C1242" s="13" t="s">
        <v>26</v>
      </c>
      <c r="D1242" s="13" t="s">
        <v>35</v>
      </c>
      <c r="E1242" s="13" t="s">
        <v>29</v>
      </c>
      <c r="F1242" s="13">
        <v>9</v>
      </c>
      <c r="G1242" s="13">
        <v>2673</v>
      </c>
      <c r="H1242" s="13">
        <v>4602.9059999999999</v>
      </c>
    </row>
    <row r="1243" spans="1:8" x14ac:dyDescent="0.35">
      <c r="A1243" s="11">
        <v>41381</v>
      </c>
      <c r="B1243" s="12">
        <v>2419</v>
      </c>
      <c r="C1243" s="13" t="s">
        <v>23</v>
      </c>
      <c r="D1243" s="13" t="s">
        <v>35</v>
      </c>
      <c r="E1243" s="13" t="s">
        <v>28</v>
      </c>
      <c r="F1243" s="13">
        <v>8</v>
      </c>
      <c r="G1243" s="13">
        <v>6048</v>
      </c>
      <c r="H1243" s="13">
        <v>3281.04</v>
      </c>
    </row>
    <row r="1244" spans="1:8" x14ac:dyDescent="0.35">
      <c r="A1244" s="11">
        <v>41382</v>
      </c>
      <c r="B1244" s="12">
        <v>2784</v>
      </c>
      <c r="C1244" s="13" t="s">
        <v>27</v>
      </c>
      <c r="D1244" s="13" t="s">
        <v>35</v>
      </c>
      <c r="E1244" s="13" t="s">
        <v>25</v>
      </c>
      <c r="F1244" s="13">
        <v>8</v>
      </c>
      <c r="G1244" s="13">
        <v>4428</v>
      </c>
      <c r="H1244" s="13">
        <v>721.09979999999996</v>
      </c>
    </row>
    <row r="1245" spans="1:8" x14ac:dyDescent="0.35">
      <c r="A1245" s="11">
        <v>41383</v>
      </c>
      <c r="B1245" s="12">
        <v>2420</v>
      </c>
      <c r="C1245" s="13" t="s">
        <v>26</v>
      </c>
      <c r="D1245" s="13" t="s">
        <v>35</v>
      </c>
      <c r="E1245" s="13" t="s">
        <v>28</v>
      </c>
      <c r="F1245" s="13">
        <v>10</v>
      </c>
      <c r="G1245" s="13">
        <v>5160</v>
      </c>
      <c r="H1245" s="13">
        <v>2085.1559999999999</v>
      </c>
    </row>
    <row r="1246" spans="1:8" x14ac:dyDescent="0.35">
      <c r="A1246" s="11">
        <v>41384</v>
      </c>
      <c r="B1246" s="12">
        <v>2785</v>
      </c>
      <c r="C1246" s="13" t="s">
        <v>23</v>
      </c>
      <c r="D1246" s="13" t="s">
        <v>35</v>
      </c>
      <c r="E1246" s="13" t="s">
        <v>25</v>
      </c>
      <c r="F1246" s="13">
        <v>7</v>
      </c>
      <c r="G1246" s="13">
        <v>14280</v>
      </c>
      <c r="H1246" s="13">
        <v>4382.5320000000002</v>
      </c>
    </row>
    <row r="1247" spans="1:8" x14ac:dyDescent="0.35">
      <c r="A1247" s="11">
        <v>41385</v>
      </c>
      <c r="B1247" s="12">
        <v>2421</v>
      </c>
      <c r="C1247" s="13" t="s">
        <v>27</v>
      </c>
      <c r="D1247" s="13" t="s">
        <v>35</v>
      </c>
      <c r="E1247" s="13" t="s">
        <v>29</v>
      </c>
      <c r="F1247" s="13">
        <v>7</v>
      </c>
      <c r="G1247" s="13">
        <v>11172</v>
      </c>
      <c r="H1247" s="13">
        <v>2141.1137999999996</v>
      </c>
    </row>
    <row r="1248" spans="1:8" x14ac:dyDescent="0.35">
      <c r="A1248" s="11">
        <v>41386</v>
      </c>
      <c r="B1248" s="12">
        <v>2786</v>
      </c>
      <c r="C1248" s="13" t="s">
        <v>26</v>
      </c>
      <c r="D1248" s="13" t="s">
        <v>35</v>
      </c>
      <c r="E1248" s="13" t="s">
        <v>25</v>
      </c>
      <c r="F1248" s="13">
        <v>7</v>
      </c>
      <c r="G1248" s="13">
        <v>11550</v>
      </c>
      <c r="H1248" s="13">
        <v>2089.395</v>
      </c>
    </row>
    <row r="1249" spans="1:8" x14ac:dyDescent="0.35">
      <c r="A1249" s="11">
        <v>41387</v>
      </c>
      <c r="B1249" s="12">
        <v>2422</v>
      </c>
      <c r="C1249" s="13" t="s">
        <v>23</v>
      </c>
      <c r="D1249" s="13" t="s">
        <v>35</v>
      </c>
      <c r="E1249" s="13" t="s">
        <v>29</v>
      </c>
      <c r="F1249" s="13">
        <v>6</v>
      </c>
      <c r="G1249" s="13">
        <v>9828</v>
      </c>
      <c r="H1249" s="13">
        <v>4660.9290000000001</v>
      </c>
    </row>
    <row r="1250" spans="1:8" x14ac:dyDescent="0.35">
      <c r="A1250" s="11">
        <v>41388</v>
      </c>
      <c r="B1250" s="12">
        <v>2787</v>
      </c>
      <c r="C1250" s="13" t="s">
        <v>27</v>
      </c>
      <c r="D1250" s="13" t="s">
        <v>35</v>
      </c>
      <c r="E1250" s="13" t="s">
        <v>28</v>
      </c>
      <c r="F1250" s="13">
        <v>8</v>
      </c>
      <c r="G1250" s="13">
        <v>7200</v>
      </c>
      <c r="H1250" s="13">
        <v>2219.7600000000002</v>
      </c>
    </row>
    <row r="1251" spans="1:8" x14ac:dyDescent="0.35">
      <c r="A1251" s="11">
        <v>41389</v>
      </c>
      <c r="B1251" s="12">
        <v>2423</v>
      </c>
      <c r="C1251" s="13" t="s">
        <v>26</v>
      </c>
      <c r="D1251" s="13" t="s">
        <v>35</v>
      </c>
      <c r="E1251" s="13" t="s">
        <v>29</v>
      </c>
      <c r="F1251" s="13">
        <v>10</v>
      </c>
      <c r="G1251" s="13">
        <v>5130</v>
      </c>
      <c r="H1251" s="13">
        <v>969.31350000000009</v>
      </c>
    </row>
    <row r="1252" spans="1:8" x14ac:dyDescent="0.35">
      <c r="A1252" s="11">
        <v>41390</v>
      </c>
      <c r="B1252" s="12">
        <v>2788</v>
      </c>
      <c r="C1252" s="13" t="s">
        <v>23</v>
      </c>
      <c r="D1252" s="13" t="s">
        <v>35</v>
      </c>
      <c r="E1252" s="13" t="s">
        <v>28</v>
      </c>
      <c r="F1252" s="13">
        <v>10</v>
      </c>
      <c r="G1252" s="13">
        <v>6780</v>
      </c>
      <c r="H1252" s="13">
        <v>1490.922</v>
      </c>
    </row>
    <row r="1253" spans="1:8" x14ac:dyDescent="0.35">
      <c r="A1253" s="11">
        <v>41391</v>
      </c>
      <c r="B1253" s="12">
        <v>2424</v>
      </c>
      <c r="C1253" s="13" t="s">
        <v>27</v>
      </c>
      <c r="D1253" s="13" t="s">
        <v>35</v>
      </c>
      <c r="E1253" s="13" t="s">
        <v>25</v>
      </c>
      <c r="F1253" s="13">
        <v>10</v>
      </c>
      <c r="G1253" s="13">
        <v>2210</v>
      </c>
      <c r="H1253" s="13">
        <v>2978.8589999999999</v>
      </c>
    </row>
    <row r="1254" spans="1:8" x14ac:dyDescent="0.35">
      <c r="A1254" s="11">
        <v>41392</v>
      </c>
      <c r="B1254" s="12">
        <v>2789</v>
      </c>
      <c r="C1254" s="13" t="s">
        <v>26</v>
      </c>
      <c r="D1254" s="13" t="s">
        <v>35</v>
      </c>
      <c r="E1254" s="13" t="s">
        <v>28</v>
      </c>
      <c r="F1254" s="13">
        <v>7</v>
      </c>
      <c r="G1254" s="13">
        <v>5355</v>
      </c>
      <c r="H1254" s="13">
        <v>1920.3029999999999</v>
      </c>
    </row>
    <row r="1255" spans="1:8" x14ac:dyDescent="0.35">
      <c r="A1255" s="11">
        <v>41393</v>
      </c>
      <c r="B1255" s="12">
        <v>2425</v>
      </c>
      <c r="C1255" s="13" t="s">
        <v>23</v>
      </c>
      <c r="D1255" s="13" t="s">
        <v>35</v>
      </c>
      <c r="E1255" s="13" t="s">
        <v>25</v>
      </c>
      <c r="F1255" s="13">
        <v>6</v>
      </c>
      <c r="G1255" s="13">
        <v>3762</v>
      </c>
      <c r="H1255" s="13">
        <v>3857.9309999999996</v>
      </c>
    </row>
    <row r="1256" spans="1:8" x14ac:dyDescent="0.35">
      <c r="A1256" s="11">
        <v>41394</v>
      </c>
      <c r="B1256" s="12">
        <v>2790</v>
      </c>
      <c r="C1256" s="13" t="s">
        <v>27</v>
      </c>
      <c r="D1256" s="13" t="s">
        <v>35</v>
      </c>
      <c r="E1256" s="13" t="s">
        <v>29</v>
      </c>
      <c r="F1256" s="13">
        <v>6</v>
      </c>
      <c r="G1256" s="13">
        <v>4698</v>
      </c>
      <c r="H1256" s="13">
        <v>587.40659999999991</v>
      </c>
    </row>
    <row r="1257" spans="1:8" x14ac:dyDescent="0.35">
      <c r="A1257" s="11">
        <v>41395</v>
      </c>
      <c r="B1257" s="12">
        <v>2426</v>
      </c>
      <c r="C1257" s="13" t="s">
        <v>26</v>
      </c>
      <c r="D1257" s="13" t="s">
        <v>35</v>
      </c>
      <c r="E1257" s="13" t="s">
        <v>25</v>
      </c>
      <c r="F1257" s="13">
        <v>10</v>
      </c>
      <c r="G1257" s="13">
        <v>3660</v>
      </c>
      <c r="H1257" s="13">
        <v>2663.0160000000001</v>
      </c>
    </row>
    <row r="1258" spans="1:8" x14ac:dyDescent="0.35">
      <c r="A1258" s="11">
        <v>41396</v>
      </c>
      <c r="B1258" s="12">
        <v>2791</v>
      </c>
      <c r="C1258" s="13" t="s">
        <v>23</v>
      </c>
      <c r="D1258" s="13" t="s">
        <v>35</v>
      </c>
      <c r="E1258" s="13" t="s">
        <v>29</v>
      </c>
      <c r="F1258" s="13">
        <v>8</v>
      </c>
      <c r="G1258" s="13">
        <v>1608</v>
      </c>
      <c r="H1258" s="13">
        <v>1651.2552000000001</v>
      </c>
    </row>
    <row r="1259" spans="1:8" x14ac:dyDescent="0.35">
      <c r="A1259" s="11">
        <v>41397</v>
      </c>
      <c r="B1259" s="12">
        <v>2427</v>
      </c>
      <c r="C1259" s="13" t="s">
        <v>27</v>
      </c>
      <c r="D1259" s="13" t="s">
        <v>35</v>
      </c>
      <c r="E1259" s="13" t="s">
        <v>28</v>
      </c>
      <c r="F1259" s="13">
        <v>10</v>
      </c>
      <c r="G1259" s="13">
        <v>4160</v>
      </c>
      <c r="H1259" s="13">
        <v>3580.7200000000003</v>
      </c>
    </row>
    <row r="1260" spans="1:8" x14ac:dyDescent="0.35">
      <c r="A1260" s="11">
        <v>41398</v>
      </c>
      <c r="B1260" s="12">
        <v>2792</v>
      </c>
      <c r="C1260" s="13" t="s">
        <v>26</v>
      </c>
      <c r="D1260" s="13" t="s">
        <v>35</v>
      </c>
      <c r="E1260" s="13" t="s">
        <v>29</v>
      </c>
      <c r="F1260" s="13">
        <v>10</v>
      </c>
      <c r="G1260" s="13">
        <v>4120</v>
      </c>
      <c r="H1260" s="13">
        <v>1837.52</v>
      </c>
    </row>
    <row r="1261" spans="1:8" x14ac:dyDescent="0.35">
      <c r="A1261" s="11">
        <v>41399</v>
      </c>
      <c r="B1261" s="12">
        <v>2428</v>
      </c>
      <c r="C1261" s="13" t="s">
        <v>23</v>
      </c>
      <c r="D1261" s="13" t="s">
        <v>35</v>
      </c>
      <c r="E1261" s="13" t="s">
        <v>28</v>
      </c>
      <c r="F1261" s="13">
        <v>8</v>
      </c>
      <c r="G1261" s="13">
        <v>4416</v>
      </c>
      <c r="H1261" s="13">
        <v>2109.0816</v>
      </c>
    </row>
    <row r="1262" spans="1:8" x14ac:dyDescent="0.35">
      <c r="A1262" s="11">
        <v>41400</v>
      </c>
      <c r="B1262" s="12">
        <v>2793</v>
      </c>
      <c r="C1262" s="13" t="s">
        <v>27</v>
      </c>
      <c r="D1262" s="13" t="s">
        <v>35</v>
      </c>
      <c r="E1262" s="13" t="s">
        <v>25</v>
      </c>
      <c r="F1262" s="13">
        <v>6</v>
      </c>
      <c r="G1262" s="13">
        <v>2178</v>
      </c>
      <c r="H1262" s="13">
        <v>2867.7726000000002</v>
      </c>
    </row>
    <row r="1263" spans="1:8" x14ac:dyDescent="0.35">
      <c r="A1263" s="11">
        <v>41401</v>
      </c>
      <c r="B1263" s="12">
        <v>2429</v>
      </c>
      <c r="C1263" s="13" t="s">
        <v>26</v>
      </c>
      <c r="D1263" s="13" t="s">
        <v>35</v>
      </c>
      <c r="E1263" s="13" t="s">
        <v>28</v>
      </c>
      <c r="F1263" s="13">
        <v>8</v>
      </c>
      <c r="G1263" s="13">
        <v>2496</v>
      </c>
      <c r="H1263" s="13">
        <v>5033.1840000000002</v>
      </c>
    </row>
    <row r="1264" spans="1:8" x14ac:dyDescent="0.35">
      <c r="A1264" s="11">
        <v>41767</v>
      </c>
      <c r="B1264" s="12">
        <v>2794</v>
      </c>
      <c r="C1264" s="13" t="s">
        <v>23</v>
      </c>
      <c r="D1264" s="13" t="s">
        <v>35</v>
      </c>
      <c r="E1264" s="13" t="s">
        <v>25</v>
      </c>
      <c r="F1264" s="13">
        <v>6</v>
      </c>
      <c r="G1264" s="13">
        <v>8784</v>
      </c>
      <c r="H1264" s="13">
        <v>2782.1124</v>
      </c>
    </row>
    <row r="1265" spans="1:8" x14ac:dyDescent="0.35">
      <c r="A1265" s="11">
        <v>41768</v>
      </c>
      <c r="B1265" s="12">
        <v>2430</v>
      </c>
      <c r="C1265" s="13" t="s">
        <v>27</v>
      </c>
      <c r="D1265" s="13" t="s">
        <v>35</v>
      </c>
      <c r="E1265" s="13" t="s">
        <v>29</v>
      </c>
      <c r="F1265" s="13">
        <v>9</v>
      </c>
      <c r="G1265" s="13">
        <v>9324</v>
      </c>
      <c r="H1265" s="13">
        <v>1722.1428000000001</v>
      </c>
    </row>
    <row r="1266" spans="1:8" x14ac:dyDescent="0.35">
      <c r="A1266" s="11">
        <v>41769</v>
      </c>
      <c r="B1266" s="12">
        <v>2795</v>
      </c>
      <c r="C1266" s="13" t="s">
        <v>26</v>
      </c>
      <c r="D1266" s="13" t="s">
        <v>35</v>
      </c>
      <c r="E1266" s="13" t="s">
        <v>25</v>
      </c>
      <c r="F1266" s="13">
        <v>10</v>
      </c>
      <c r="G1266" s="13">
        <v>4260</v>
      </c>
      <c r="H1266" s="13">
        <v>1370.0159999999998</v>
      </c>
    </row>
    <row r="1267" spans="1:8" x14ac:dyDescent="0.35">
      <c r="A1267" s="11">
        <v>41770</v>
      </c>
      <c r="B1267" s="12">
        <v>2431</v>
      </c>
      <c r="C1267" s="13" t="s">
        <v>23</v>
      </c>
      <c r="D1267" s="13" t="s">
        <v>35</v>
      </c>
      <c r="E1267" s="13" t="s">
        <v>29</v>
      </c>
      <c r="F1267" s="13">
        <v>8</v>
      </c>
      <c r="G1267" s="13">
        <v>5760</v>
      </c>
      <c r="H1267" s="13">
        <v>2139.2640000000001</v>
      </c>
    </row>
    <row r="1268" spans="1:8" x14ac:dyDescent="0.35">
      <c r="A1268" s="11">
        <v>41771</v>
      </c>
      <c r="B1268" s="12">
        <v>2796</v>
      </c>
      <c r="C1268" s="13" t="s">
        <v>27</v>
      </c>
      <c r="D1268" s="13" t="s">
        <v>35</v>
      </c>
      <c r="E1268" s="13" t="s">
        <v>28</v>
      </c>
      <c r="F1268" s="13">
        <v>9</v>
      </c>
      <c r="G1268" s="13">
        <v>10440</v>
      </c>
      <c r="H1268" s="13">
        <v>3124.17</v>
      </c>
    </row>
    <row r="1269" spans="1:8" x14ac:dyDescent="0.35">
      <c r="A1269" s="11">
        <v>41772</v>
      </c>
      <c r="B1269" s="12">
        <v>2432</v>
      </c>
      <c r="C1269" s="13" t="s">
        <v>26</v>
      </c>
      <c r="D1269" s="13" t="s">
        <v>35</v>
      </c>
      <c r="E1269" s="13" t="s">
        <v>29</v>
      </c>
      <c r="F1269" s="13">
        <v>9</v>
      </c>
      <c r="G1269" s="13">
        <v>9396</v>
      </c>
      <c r="H1269" s="13">
        <v>3484.9763999999996</v>
      </c>
    </row>
    <row r="1270" spans="1:8" x14ac:dyDescent="0.35">
      <c r="A1270" s="11">
        <v>41773</v>
      </c>
      <c r="B1270" s="12">
        <v>2797</v>
      </c>
      <c r="C1270" s="13" t="s">
        <v>23</v>
      </c>
      <c r="D1270" s="13" t="s">
        <v>35</v>
      </c>
      <c r="E1270" s="13" t="s">
        <v>28</v>
      </c>
      <c r="F1270" s="13">
        <v>6</v>
      </c>
      <c r="G1270" s="13">
        <v>13005</v>
      </c>
      <c r="H1270" s="13">
        <v>2521.9295999999999</v>
      </c>
    </row>
    <row r="1271" spans="1:8" x14ac:dyDescent="0.35">
      <c r="A1271" s="11">
        <v>41774</v>
      </c>
      <c r="B1271" s="12">
        <v>2433</v>
      </c>
      <c r="C1271" s="13" t="s">
        <v>27</v>
      </c>
      <c r="D1271" s="13" t="s">
        <v>35</v>
      </c>
      <c r="E1271" s="13" t="s">
        <v>25</v>
      </c>
      <c r="F1271" s="13">
        <v>10</v>
      </c>
      <c r="G1271" s="13">
        <v>13300</v>
      </c>
      <c r="H1271" s="13">
        <v>4205.46</v>
      </c>
    </row>
    <row r="1272" spans="1:8" x14ac:dyDescent="0.35">
      <c r="A1272" s="11">
        <v>41775</v>
      </c>
      <c r="B1272" s="12">
        <v>2798</v>
      </c>
      <c r="C1272" s="13" t="s">
        <v>26</v>
      </c>
      <c r="D1272" s="13" t="s">
        <v>35</v>
      </c>
      <c r="E1272" s="13" t="s">
        <v>28</v>
      </c>
      <c r="F1272" s="13">
        <v>9</v>
      </c>
      <c r="G1272" s="13">
        <v>2475</v>
      </c>
      <c r="H1272" s="13">
        <v>780.12</v>
      </c>
    </row>
    <row r="1273" spans="1:8" x14ac:dyDescent="0.35">
      <c r="A1273" s="11">
        <v>41776</v>
      </c>
      <c r="B1273" s="12">
        <v>2434</v>
      </c>
      <c r="C1273" s="13" t="s">
        <v>23</v>
      </c>
      <c r="D1273" s="13" t="s">
        <v>35</v>
      </c>
      <c r="E1273" s="13" t="s">
        <v>25</v>
      </c>
      <c r="F1273" s="13">
        <v>10</v>
      </c>
      <c r="G1273" s="13">
        <v>14100</v>
      </c>
      <c r="H1273" s="13">
        <v>3058.29</v>
      </c>
    </row>
    <row r="1274" spans="1:8" x14ac:dyDescent="0.35">
      <c r="A1274" s="11">
        <v>41777</v>
      </c>
      <c r="B1274" s="12">
        <v>2799</v>
      </c>
      <c r="C1274" s="13" t="s">
        <v>27</v>
      </c>
      <c r="D1274" s="13" t="s">
        <v>35</v>
      </c>
      <c r="E1274" s="13" t="s">
        <v>29</v>
      </c>
      <c r="F1274" s="13">
        <v>10</v>
      </c>
      <c r="G1274" s="13">
        <v>10440</v>
      </c>
      <c r="H1274" s="13">
        <v>1908.432</v>
      </c>
    </row>
    <row r="1275" spans="1:8" x14ac:dyDescent="0.35">
      <c r="A1275" s="11">
        <v>41778</v>
      </c>
      <c r="B1275" s="12">
        <v>2435</v>
      </c>
      <c r="C1275" s="13" t="s">
        <v>26</v>
      </c>
      <c r="D1275" s="13" t="s">
        <v>35</v>
      </c>
      <c r="E1275" s="13" t="s">
        <v>25</v>
      </c>
      <c r="F1275" s="13">
        <v>9</v>
      </c>
      <c r="G1275" s="13">
        <v>9108</v>
      </c>
      <c r="H1275" s="13">
        <v>969.77430000000004</v>
      </c>
    </row>
    <row r="1276" spans="1:8" x14ac:dyDescent="0.35">
      <c r="A1276" s="11">
        <v>41779</v>
      </c>
      <c r="B1276" s="12">
        <v>2800</v>
      </c>
      <c r="C1276" s="13" t="s">
        <v>23</v>
      </c>
      <c r="D1276" s="13" t="s">
        <v>35</v>
      </c>
      <c r="E1276" s="13" t="s">
        <v>29</v>
      </c>
      <c r="F1276" s="13">
        <v>8</v>
      </c>
      <c r="G1276" s="13">
        <v>11960</v>
      </c>
      <c r="H1276" s="13">
        <v>4174.04</v>
      </c>
    </row>
    <row r="1277" spans="1:8" x14ac:dyDescent="0.35">
      <c r="A1277" s="11">
        <v>41780</v>
      </c>
      <c r="B1277" s="12">
        <v>2436</v>
      </c>
      <c r="C1277" s="13" t="s">
        <v>27</v>
      </c>
      <c r="D1277" s="13" t="s">
        <v>35</v>
      </c>
      <c r="E1277" s="13" t="s">
        <v>28</v>
      </c>
      <c r="F1277" s="13">
        <v>9</v>
      </c>
      <c r="G1277" s="13">
        <v>10422</v>
      </c>
      <c r="H1277" s="13">
        <v>2384.8141500000002</v>
      </c>
    </row>
    <row r="1278" spans="1:8" x14ac:dyDescent="0.35">
      <c r="A1278" s="11">
        <v>41781</v>
      </c>
      <c r="B1278" s="12">
        <v>2801</v>
      </c>
      <c r="C1278" s="13" t="s">
        <v>26</v>
      </c>
      <c r="D1278" s="13" t="s">
        <v>35</v>
      </c>
      <c r="E1278" s="13" t="s">
        <v>29</v>
      </c>
      <c r="F1278" s="13">
        <v>10</v>
      </c>
      <c r="G1278" s="13">
        <v>2650</v>
      </c>
      <c r="H1278" s="13">
        <v>3340.59</v>
      </c>
    </row>
    <row r="1279" spans="1:8" x14ac:dyDescent="0.35">
      <c r="A1279" s="11">
        <v>41782</v>
      </c>
      <c r="B1279" s="12">
        <v>2437</v>
      </c>
      <c r="C1279" s="13" t="s">
        <v>23</v>
      </c>
      <c r="D1279" s="13" t="s">
        <v>35</v>
      </c>
      <c r="E1279" s="13" t="s">
        <v>28</v>
      </c>
      <c r="F1279" s="13">
        <v>7</v>
      </c>
      <c r="G1279" s="13">
        <v>9660</v>
      </c>
      <c r="H1279" s="13">
        <v>2898.9659999999994</v>
      </c>
    </row>
    <row r="1280" spans="1:8" x14ac:dyDescent="0.35">
      <c r="A1280" s="11">
        <v>41783</v>
      </c>
      <c r="B1280" s="12">
        <v>2802</v>
      </c>
      <c r="C1280" s="13" t="s">
        <v>27</v>
      </c>
      <c r="D1280" s="13" t="s">
        <v>35</v>
      </c>
      <c r="E1280" s="13" t="s">
        <v>25</v>
      </c>
      <c r="F1280" s="13">
        <v>9</v>
      </c>
      <c r="G1280" s="13">
        <v>9990</v>
      </c>
      <c r="H1280" s="13">
        <v>5395.8487500000001</v>
      </c>
    </row>
    <row r="1281" spans="1:8" x14ac:dyDescent="0.35">
      <c r="A1281" s="11">
        <v>41784</v>
      </c>
      <c r="B1281" s="12">
        <v>2438</v>
      </c>
      <c r="C1281" s="13" t="s">
        <v>26</v>
      </c>
      <c r="D1281" s="13" t="s">
        <v>35</v>
      </c>
      <c r="E1281" s="13" t="s">
        <v>28</v>
      </c>
      <c r="F1281" s="13">
        <v>9</v>
      </c>
      <c r="G1281" s="13">
        <v>10980</v>
      </c>
      <c r="H1281" s="13">
        <v>851.60879999999997</v>
      </c>
    </row>
    <row r="1282" spans="1:8" x14ac:dyDescent="0.35">
      <c r="A1282" s="11">
        <v>41785</v>
      </c>
      <c r="B1282" s="12">
        <v>2803</v>
      </c>
      <c r="C1282" s="13" t="s">
        <v>23</v>
      </c>
      <c r="D1282" s="13" t="s">
        <v>35</v>
      </c>
      <c r="E1282" s="13" t="s">
        <v>25</v>
      </c>
      <c r="F1282" s="13">
        <v>9</v>
      </c>
      <c r="G1282" s="13">
        <v>10935</v>
      </c>
      <c r="H1282" s="13">
        <v>3368.8548000000001</v>
      </c>
    </row>
    <row r="1283" spans="1:8" x14ac:dyDescent="0.35">
      <c r="A1283" s="11">
        <v>41786</v>
      </c>
      <c r="B1283" s="12">
        <v>2439</v>
      </c>
      <c r="C1283" s="13" t="s">
        <v>27</v>
      </c>
      <c r="D1283" s="13" t="s">
        <v>35</v>
      </c>
      <c r="E1283" s="13" t="s">
        <v>29</v>
      </c>
      <c r="F1283" s="13">
        <v>7</v>
      </c>
      <c r="G1283" s="13">
        <v>8127</v>
      </c>
      <c r="H1283" s="13">
        <v>1466.1108000000002</v>
      </c>
    </row>
    <row r="1284" spans="1:8" x14ac:dyDescent="0.35">
      <c r="A1284" s="11">
        <v>41787</v>
      </c>
      <c r="B1284" s="12">
        <v>2804</v>
      </c>
      <c r="C1284" s="13" t="s">
        <v>26</v>
      </c>
      <c r="D1284" s="13" t="s">
        <v>35</v>
      </c>
      <c r="E1284" s="13" t="s">
        <v>25</v>
      </c>
      <c r="F1284" s="13">
        <v>7</v>
      </c>
      <c r="G1284" s="13">
        <v>4914</v>
      </c>
      <c r="H1284" s="13">
        <v>3646.1880000000001</v>
      </c>
    </row>
    <row r="1285" spans="1:8" x14ac:dyDescent="0.35">
      <c r="A1285" s="11">
        <v>41788</v>
      </c>
      <c r="B1285" s="12">
        <v>2440</v>
      </c>
      <c r="C1285" s="13" t="s">
        <v>23</v>
      </c>
      <c r="D1285" s="13" t="s">
        <v>35</v>
      </c>
      <c r="E1285" s="13" t="s">
        <v>29</v>
      </c>
      <c r="F1285" s="13">
        <v>10</v>
      </c>
      <c r="G1285" s="13">
        <v>8910</v>
      </c>
      <c r="H1285" s="13">
        <v>5103.9450000000006</v>
      </c>
    </row>
    <row r="1286" spans="1:8" x14ac:dyDescent="0.35">
      <c r="A1286" s="11">
        <v>41789</v>
      </c>
      <c r="B1286" s="12">
        <v>2805</v>
      </c>
      <c r="C1286" s="13" t="s">
        <v>27</v>
      </c>
      <c r="D1286" s="13" t="s">
        <v>35</v>
      </c>
      <c r="E1286" s="13" t="s">
        <v>28</v>
      </c>
      <c r="F1286" s="13">
        <v>8</v>
      </c>
      <c r="G1286" s="13">
        <v>10560</v>
      </c>
      <c r="H1286" s="13">
        <v>915.76319999999998</v>
      </c>
    </row>
    <row r="1287" spans="1:8" x14ac:dyDescent="0.35">
      <c r="A1287" s="11">
        <v>41790</v>
      </c>
      <c r="B1287" s="12">
        <v>2441</v>
      </c>
      <c r="C1287" s="13" t="s">
        <v>26</v>
      </c>
      <c r="D1287" s="13" t="s">
        <v>35</v>
      </c>
      <c r="E1287" s="13" t="s">
        <v>29</v>
      </c>
      <c r="F1287" s="13">
        <v>10</v>
      </c>
      <c r="G1287" s="13">
        <v>2280</v>
      </c>
      <c r="H1287" s="13">
        <v>3961.7280000000001</v>
      </c>
    </row>
    <row r="1288" spans="1:8" x14ac:dyDescent="0.35">
      <c r="A1288" s="11">
        <v>41791</v>
      </c>
      <c r="B1288" s="12">
        <v>2806</v>
      </c>
      <c r="C1288" s="13" t="s">
        <v>23</v>
      </c>
      <c r="D1288" s="13" t="s">
        <v>35</v>
      </c>
      <c r="E1288" s="13" t="s">
        <v>28</v>
      </c>
      <c r="F1288" s="13">
        <v>7</v>
      </c>
      <c r="G1288" s="13">
        <v>2131.5</v>
      </c>
      <c r="H1288" s="13">
        <v>3615.0239999999994</v>
      </c>
    </row>
    <row r="1289" spans="1:8" x14ac:dyDescent="0.35">
      <c r="A1289" s="11">
        <v>41792</v>
      </c>
      <c r="B1289" s="12">
        <v>2442</v>
      </c>
      <c r="C1289" s="13" t="s">
        <v>27</v>
      </c>
      <c r="D1289" s="13" t="s">
        <v>35</v>
      </c>
      <c r="E1289" s="13" t="s">
        <v>25</v>
      </c>
      <c r="F1289" s="13">
        <v>7</v>
      </c>
      <c r="G1289" s="13">
        <v>4046</v>
      </c>
      <c r="H1289" s="13">
        <v>2198.1918000000005</v>
      </c>
    </row>
    <row r="1290" spans="1:8" x14ac:dyDescent="0.35">
      <c r="A1290" s="11">
        <v>41793</v>
      </c>
      <c r="B1290" s="12">
        <v>2807</v>
      </c>
      <c r="C1290" s="13" t="s">
        <v>26</v>
      </c>
      <c r="D1290" s="13" t="s">
        <v>35</v>
      </c>
      <c r="E1290" s="13" t="s">
        <v>28</v>
      </c>
      <c r="F1290" s="13">
        <v>7</v>
      </c>
      <c r="G1290" s="13">
        <v>7612.5</v>
      </c>
      <c r="H1290" s="13">
        <v>609.60900000000004</v>
      </c>
    </row>
    <row r="1291" spans="1:8" x14ac:dyDescent="0.35">
      <c r="A1291" s="11">
        <v>41794</v>
      </c>
      <c r="B1291" s="12">
        <v>2443</v>
      </c>
      <c r="C1291" s="13" t="s">
        <v>23</v>
      </c>
      <c r="D1291" s="13" t="s">
        <v>35</v>
      </c>
      <c r="E1291" s="13" t="s">
        <v>25</v>
      </c>
      <c r="F1291" s="13">
        <v>10</v>
      </c>
      <c r="G1291" s="13">
        <v>9080</v>
      </c>
      <c r="H1291" s="13">
        <v>3489.444</v>
      </c>
    </row>
    <row r="1292" spans="1:8" x14ac:dyDescent="0.35">
      <c r="A1292" s="11">
        <v>41795</v>
      </c>
      <c r="B1292" s="12">
        <v>2808</v>
      </c>
      <c r="C1292" s="13" t="s">
        <v>27</v>
      </c>
      <c r="D1292" s="13" t="s">
        <v>35</v>
      </c>
      <c r="E1292" s="13" t="s">
        <v>29</v>
      </c>
      <c r="F1292" s="13">
        <v>6</v>
      </c>
      <c r="G1292" s="13">
        <v>1458</v>
      </c>
      <c r="H1292" s="13">
        <v>653.7672</v>
      </c>
    </row>
    <row r="1293" spans="1:8" x14ac:dyDescent="0.35">
      <c r="A1293" s="11">
        <v>41796</v>
      </c>
      <c r="B1293" s="12">
        <v>2444</v>
      </c>
      <c r="C1293" s="13" t="s">
        <v>26</v>
      </c>
      <c r="D1293" s="13" t="s">
        <v>35</v>
      </c>
      <c r="E1293" s="13" t="s">
        <v>25</v>
      </c>
      <c r="F1293" s="13">
        <v>7</v>
      </c>
      <c r="G1293" s="13">
        <v>3129</v>
      </c>
      <c r="H1293" s="13">
        <v>686.97194999999999</v>
      </c>
    </row>
    <row r="1294" spans="1:8" x14ac:dyDescent="0.35">
      <c r="A1294" s="11">
        <v>41797</v>
      </c>
      <c r="B1294" s="12">
        <v>2809</v>
      </c>
      <c r="C1294" s="13" t="s">
        <v>23</v>
      </c>
      <c r="D1294" s="13" t="s">
        <v>35</v>
      </c>
      <c r="E1294" s="13" t="s">
        <v>29</v>
      </c>
      <c r="F1294" s="13">
        <v>7</v>
      </c>
      <c r="G1294" s="13">
        <v>1858.5</v>
      </c>
      <c r="H1294" s="13">
        <v>3535.7962500000003</v>
      </c>
    </row>
    <row r="1295" spans="1:8" x14ac:dyDescent="0.35">
      <c r="A1295" s="11">
        <v>41798</v>
      </c>
      <c r="B1295" s="12">
        <v>2445</v>
      </c>
      <c r="C1295" s="13" t="s">
        <v>27</v>
      </c>
      <c r="D1295" s="13" t="s">
        <v>35</v>
      </c>
      <c r="E1295" s="13" t="s">
        <v>28</v>
      </c>
      <c r="F1295" s="13">
        <v>10</v>
      </c>
      <c r="G1295" s="13">
        <v>8370</v>
      </c>
      <c r="H1295" s="13">
        <v>3657.69</v>
      </c>
    </row>
    <row r="1296" spans="1:8" x14ac:dyDescent="0.35">
      <c r="A1296" s="11">
        <v>41799</v>
      </c>
      <c r="B1296" s="12">
        <v>2810</v>
      </c>
      <c r="C1296" s="13" t="s">
        <v>26</v>
      </c>
      <c r="D1296" s="13" t="s">
        <v>35</v>
      </c>
      <c r="E1296" s="13" t="s">
        <v>29</v>
      </c>
      <c r="F1296" s="13">
        <v>8</v>
      </c>
      <c r="G1296" s="13">
        <v>10416</v>
      </c>
      <c r="H1296" s="13">
        <v>3102.9264000000003</v>
      </c>
    </row>
    <row r="1297" spans="1:8" x14ac:dyDescent="0.35">
      <c r="A1297" s="11">
        <v>41800</v>
      </c>
      <c r="B1297" s="12">
        <v>2446</v>
      </c>
      <c r="C1297" s="13" t="s">
        <v>23</v>
      </c>
      <c r="D1297" s="13" t="s">
        <v>35</v>
      </c>
      <c r="E1297" s="13" t="s">
        <v>28</v>
      </c>
      <c r="F1297" s="13">
        <v>8</v>
      </c>
      <c r="G1297" s="13">
        <v>8064</v>
      </c>
      <c r="H1297" s="13">
        <v>2483.712</v>
      </c>
    </row>
    <row r="1298" spans="1:8" x14ac:dyDescent="0.35">
      <c r="A1298" s="11">
        <v>41801</v>
      </c>
      <c r="B1298" s="12">
        <v>2811</v>
      </c>
      <c r="C1298" s="13" t="s">
        <v>27</v>
      </c>
      <c r="D1298" s="13" t="s">
        <v>35</v>
      </c>
      <c r="E1298" s="13" t="s">
        <v>25</v>
      </c>
      <c r="F1298" s="13">
        <v>6</v>
      </c>
      <c r="G1298" s="13">
        <v>2214</v>
      </c>
      <c r="H1298" s="13">
        <v>1799.9819999999997</v>
      </c>
    </row>
    <row r="1299" spans="1:8" x14ac:dyDescent="0.35">
      <c r="A1299" s="11">
        <v>41802</v>
      </c>
      <c r="B1299" s="12">
        <v>2447</v>
      </c>
      <c r="C1299" s="13" t="s">
        <v>26</v>
      </c>
      <c r="D1299" s="13" t="s">
        <v>35</v>
      </c>
      <c r="E1299" s="13" t="s">
        <v>28</v>
      </c>
      <c r="F1299" s="13">
        <v>10</v>
      </c>
      <c r="G1299" s="13">
        <v>2900</v>
      </c>
      <c r="H1299" s="13">
        <v>3108.51</v>
      </c>
    </row>
    <row r="1300" spans="1:8" x14ac:dyDescent="0.35">
      <c r="A1300" s="11">
        <v>41803</v>
      </c>
      <c r="B1300" s="12">
        <v>2812</v>
      </c>
      <c r="C1300" s="13" t="s">
        <v>23</v>
      </c>
      <c r="D1300" s="13" t="s">
        <v>35</v>
      </c>
      <c r="E1300" s="13" t="s">
        <v>25</v>
      </c>
      <c r="F1300" s="13">
        <v>6</v>
      </c>
      <c r="G1300" s="13">
        <v>2214</v>
      </c>
      <c r="H1300" s="13">
        <v>1947.8772000000001</v>
      </c>
    </row>
    <row r="1301" spans="1:8" x14ac:dyDescent="0.35">
      <c r="A1301" s="11">
        <v>41804</v>
      </c>
      <c r="B1301" s="12">
        <v>2448</v>
      </c>
      <c r="C1301" s="13" t="s">
        <v>27</v>
      </c>
      <c r="D1301" s="13" t="s">
        <v>35</v>
      </c>
      <c r="E1301" s="13" t="s">
        <v>29</v>
      </c>
      <c r="F1301" s="13">
        <v>9</v>
      </c>
      <c r="G1301" s="13">
        <v>10044</v>
      </c>
      <c r="H1301" s="13">
        <v>2862.54</v>
      </c>
    </row>
    <row r="1302" spans="1:8" x14ac:dyDescent="0.35">
      <c r="A1302" s="11">
        <v>41805</v>
      </c>
      <c r="B1302" s="12">
        <v>2813</v>
      </c>
      <c r="C1302" s="13" t="s">
        <v>26</v>
      </c>
      <c r="D1302" s="13" t="s">
        <v>35</v>
      </c>
      <c r="E1302" s="13" t="s">
        <v>25</v>
      </c>
      <c r="F1302" s="13">
        <v>8</v>
      </c>
      <c r="G1302" s="13">
        <v>5436</v>
      </c>
      <c r="H1302" s="13">
        <v>578.75280000000009</v>
      </c>
    </row>
    <row r="1303" spans="1:8" x14ac:dyDescent="0.35">
      <c r="A1303" s="11">
        <v>41806</v>
      </c>
      <c r="B1303" s="12">
        <v>2449</v>
      </c>
      <c r="C1303" s="13" t="s">
        <v>23</v>
      </c>
      <c r="D1303" s="13" t="s">
        <v>35</v>
      </c>
      <c r="E1303" s="13" t="s">
        <v>29</v>
      </c>
      <c r="F1303" s="13">
        <v>10</v>
      </c>
      <c r="G1303" s="13">
        <v>13850</v>
      </c>
      <c r="H1303" s="13">
        <v>1676.404</v>
      </c>
    </row>
    <row r="1304" spans="1:8" x14ac:dyDescent="0.35">
      <c r="A1304" s="11">
        <v>41807</v>
      </c>
      <c r="B1304" s="12">
        <v>2814</v>
      </c>
      <c r="C1304" s="13" t="s">
        <v>27</v>
      </c>
      <c r="D1304" s="13" t="s">
        <v>35</v>
      </c>
      <c r="E1304" s="13" t="s">
        <v>28</v>
      </c>
      <c r="F1304" s="13">
        <v>7</v>
      </c>
      <c r="G1304" s="13">
        <v>5544</v>
      </c>
      <c r="H1304" s="13">
        <v>1490.2271999999998</v>
      </c>
    </row>
    <row r="1305" spans="1:8" x14ac:dyDescent="0.35">
      <c r="A1305" s="11">
        <v>41808</v>
      </c>
      <c r="B1305" s="12">
        <v>2450</v>
      </c>
      <c r="C1305" s="13" t="s">
        <v>26</v>
      </c>
      <c r="D1305" s="13" t="s">
        <v>35</v>
      </c>
      <c r="E1305" s="13" t="s">
        <v>29</v>
      </c>
      <c r="F1305" s="13">
        <v>9</v>
      </c>
      <c r="G1305" s="13">
        <v>10584</v>
      </c>
      <c r="H1305" s="13">
        <v>2676.6935999999996</v>
      </c>
    </row>
    <row r="1306" spans="1:8" x14ac:dyDescent="0.35">
      <c r="A1306" s="11">
        <v>41809</v>
      </c>
      <c r="B1306" s="12">
        <v>2815</v>
      </c>
      <c r="C1306" s="13" t="s">
        <v>23</v>
      </c>
      <c r="D1306" s="13" t="s">
        <v>35</v>
      </c>
      <c r="E1306" s="13" t="s">
        <v>28</v>
      </c>
      <c r="F1306" s="13">
        <v>8</v>
      </c>
      <c r="G1306" s="13">
        <v>4688</v>
      </c>
      <c r="H1306" s="13">
        <v>5041.9440000000004</v>
      </c>
    </row>
    <row r="1307" spans="1:8" x14ac:dyDescent="0.35">
      <c r="A1307" s="11">
        <v>41810</v>
      </c>
      <c r="B1307" s="12">
        <v>2451</v>
      </c>
      <c r="C1307" s="13" t="s">
        <v>27</v>
      </c>
      <c r="D1307" s="13" t="s">
        <v>35</v>
      </c>
      <c r="E1307" s="13" t="s">
        <v>25</v>
      </c>
      <c r="F1307" s="13">
        <v>9</v>
      </c>
      <c r="G1307" s="13">
        <v>2376</v>
      </c>
      <c r="H1307" s="13">
        <v>881.25840000000005</v>
      </c>
    </row>
    <row r="1308" spans="1:8" x14ac:dyDescent="0.35">
      <c r="A1308" s="11">
        <v>41811</v>
      </c>
      <c r="B1308" s="12">
        <v>2816</v>
      </c>
      <c r="C1308" s="13" t="s">
        <v>26</v>
      </c>
      <c r="D1308" s="13" t="s">
        <v>35</v>
      </c>
      <c r="E1308" s="13" t="s">
        <v>28</v>
      </c>
      <c r="F1308" s="13">
        <v>6</v>
      </c>
      <c r="G1308" s="13">
        <v>9180</v>
      </c>
      <c r="H1308" s="13">
        <v>1172.4695999999999</v>
      </c>
    </row>
    <row r="1309" spans="1:8" x14ac:dyDescent="0.35">
      <c r="A1309" s="11">
        <v>41812</v>
      </c>
      <c r="B1309" s="12">
        <v>2452</v>
      </c>
      <c r="C1309" s="13" t="s">
        <v>23</v>
      </c>
      <c r="D1309" s="13" t="s">
        <v>35</v>
      </c>
      <c r="E1309" s="13" t="s">
        <v>25</v>
      </c>
      <c r="F1309" s="13">
        <v>6</v>
      </c>
      <c r="G1309" s="13">
        <v>1566</v>
      </c>
      <c r="H1309" s="13">
        <v>2028.5964000000004</v>
      </c>
    </row>
    <row r="1310" spans="1:8" x14ac:dyDescent="0.35">
      <c r="A1310" s="11">
        <v>41813</v>
      </c>
      <c r="B1310" s="12">
        <v>2817</v>
      </c>
      <c r="C1310" s="13" t="s">
        <v>27</v>
      </c>
      <c r="D1310" s="13" t="s">
        <v>35</v>
      </c>
      <c r="E1310" s="13" t="s">
        <v>29</v>
      </c>
      <c r="F1310" s="13">
        <v>9</v>
      </c>
      <c r="G1310" s="13">
        <v>3294</v>
      </c>
      <c r="H1310" s="13">
        <v>1251.3905999999999</v>
      </c>
    </row>
    <row r="1311" spans="1:8" x14ac:dyDescent="0.35">
      <c r="A1311" s="11">
        <v>41814</v>
      </c>
      <c r="B1311" s="12">
        <v>2453</v>
      </c>
      <c r="C1311" s="13" t="s">
        <v>26</v>
      </c>
      <c r="D1311" s="13" t="s">
        <v>35</v>
      </c>
      <c r="E1311" s="13" t="s">
        <v>25</v>
      </c>
      <c r="F1311" s="13">
        <v>9</v>
      </c>
      <c r="G1311" s="13">
        <v>1944</v>
      </c>
      <c r="H1311" s="13">
        <v>1673.3951999999999</v>
      </c>
    </row>
    <row r="1312" spans="1:8" x14ac:dyDescent="0.35">
      <c r="A1312" s="11">
        <v>41815</v>
      </c>
      <c r="B1312" s="12">
        <v>2818</v>
      </c>
      <c r="C1312" s="13" t="s">
        <v>23</v>
      </c>
      <c r="D1312" s="13" t="s">
        <v>35</v>
      </c>
      <c r="E1312" s="13" t="s">
        <v>29</v>
      </c>
      <c r="F1312" s="13">
        <v>8</v>
      </c>
      <c r="G1312" s="13">
        <v>7524</v>
      </c>
      <c r="H1312" s="13">
        <v>4315.0140000000001</v>
      </c>
    </row>
    <row r="1313" spans="1:8" x14ac:dyDescent="0.35">
      <c r="A1313" s="11">
        <v>41816</v>
      </c>
      <c r="B1313" s="12">
        <v>2454</v>
      </c>
      <c r="C1313" s="13" t="s">
        <v>27</v>
      </c>
      <c r="D1313" s="13" t="s">
        <v>35</v>
      </c>
      <c r="E1313" s="13" t="s">
        <v>28</v>
      </c>
      <c r="F1313" s="13">
        <v>6</v>
      </c>
      <c r="G1313" s="13">
        <v>3510</v>
      </c>
      <c r="H1313" s="13">
        <v>2724.6374999999998</v>
      </c>
    </row>
    <row r="1314" spans="1:8" x14ac:dyDescent="0.35">
      <c r="A1314" s="11">
        <v>41817</v>
      </c>
      <c r="B1314" s="12">
        <v>2819</v>
      </c>
      <c r="C1314" s="13" t="s">
        <v>26</v>
      </c>
      <c r="D1314" s="13" t="s">
        <v>35</v>
      </c>
      <c r="E1314" s="13" t="s">
        <v>29</v>
      </c>
      <c r="F1314" s="13">
        <v>7</v>
      </c>
      <c r="G1314" s="13">
        <v>4599</v>
      </c>
      <c r="H1314" s="13">
        <v>2021.2605000000001</v>
      </c>
    </row>
    <row r="1315" spans="1:8" x14ac:dyDescent="0.35">
      <c r="A1315" s="11">
        <v>41818</v>
      </c>
      <c r="B1315" s="12">
        <v>2455</v>
      </c>
      <c r="C1315" s="13" t="s">
        <v>23</v>
      </c>
      <c r="D1315" s="13" t="s">
        <v>35</v>
      </c>
      <c r="E1315" s="13" t="s">
        <v>28</v>
      </c>
      <c r="F1315" s="13">
        <v>7</v>
      </c>
      <c r="G1315" s="13">
        <v>9712.5</v>
      </c>
      <c r="H1315" s="13">
        <v>2367.1305000000002</v>
      </c>
    </row>
    <row r="1316" spans="1:8" x14ac:dyDescent="0.35">
      <c r="A1316" s="11">
        <v>41819</v>
      </c>
      <c r="B1316" s="12">
        <v>2820</v>
      </c>
      <c r="C1316" s="13" t="s">
        <v>27</v>
      </c>
      <c r="D1316" s="13" t="s">
        <v>35</v>
      </c>
      <c r="E1316" s="13" t="s">
        <v>25</v>
      </c>
      <c r="F1316" s="13">
        <v>6</v>
      </c>
      <c r="G1316" s="13">
        <v>6876</v>
      </c>
      <c r="H1316" s="13">
        <v>3053.6316000000002</v>
      </c>
    </row>
    <row r="1317" spans="1:8" x14ac:dyDescent="0.35">
      <c r="A1317" s="11">
        <v>41820</v>
      </c>
      <c r="B1317" s="12">
        <v>2456</v>
      </c>
      <c r="C1317" s="13" t="s">
        <v>26</v>
      </c>
      <c r="D1317" s="13" t="s">
        <v>35</v>
      </c>
      <c r="E1317" s="13" t="s">
        <v>28</v>
      </c>
      <c r="F1317" s="13">
        <v>7</v>
      </c>
      <c r="G1317" s="13">
        <v>2009</v>
      </c>
      <c r="H1317" s="13">
        <v>3864.3114999999998</v>
      </c>
    </row>
    <row r="1318" spans="1:8" x14ac:dyDescent="0.35">
      <c r="A1318" s="11">
        <v>41821</v>
      </c>
      <c r="B1318" s="12">
        <v>2821</v>
      </c>
      <c r="C1318" s="13" t="s">
        <v>23</v>
      </c>
      <c r="D1318" s="13" t="s">
        <v>35</v>
      </c>
      <c r="E1318" s="13" t="s">
        <v>25</v>
      </c>
      <c r="F1318" s="13">
        <v>9</v>
      </c>
      <c r="G1318" s="13">
        <v>8316</v>
      </c>
      <c r="H1318" s="13">
        <v>3690.6407999999997</v>
      </c>
    </row>
    <row r="1319" spans="1:8" x14ac:dyDescent="0.35">
      <c r="A1319" s="11">
        <v>41822</v>
      </c>
      <c r="B1319" s="12">
        <v>2457</v>
      </c>
      <c r="C1319" s="13" t="s">
        <v>27</v>
      </c>
      <c r="D1319" s="13" t="s">
        <v>35</v>
      </c>
      <c r="E1319" s="13" t="s">
        <v>29</v>
      </c>
      <c r="F1319" s="13">
        <v>10</v>
      </c>
      <c r="G1319" s="13">
        <v>5550</v>
      </c>
      <c r="H1319" s="13">
        <v>1232.0999999999999</v>
      </c>
    </row>
    <row r="1320" spans="1:8" x14ac:dyDescent="0.35">
      <c r="A1320" s="11">
        <v>41823</v>
      </c>
      <c r="B1320" s="12">
        <v>2822</v>
      </c>
      <c r="C1320" s="13" t="s">
        <v>26</v>
      </c>
      <c r="D1320" s="13" t="s">
        <v>35</v>
      </c>
      <c r="E1320" s="13" t="s">
        <v>25</v>
      </c>
      <c r="F1320" s="13">
        <v>9</v>
      </c>
      <c r="G1320" s="13">
        <v>11880</v>
      </c>
      <c r="H1320" s="13">
        <v>5095.3320000000003</v>
      </c>
    </row>
    <row r="1321" spans="1:8" x14ac:dyDescent="0.35">
      <c r="A1321" s="11">
        <v>41824</v>
      </c>
      <c r="B1321" s="12">
        <v>2458</v>
      </c>
      <c r="C1321" s="13" t="s">
        <v>23</v>
      </c>
      <c r="D1321" s="13" t="s">
        <v>35</v>
      </c>
      <c r="E1321" s="13" t="s">
        <v>29</v>
      </c>
      <c r="F1321" s="13">
        <v>7</v>
      </c>
      <c r="G1321" s="13">
        <v>9954</v>
      </c>
      <c r="H1321" s="13">
        <v>1101.1612499999999</v>
      </c>
    </row>
    <row r="1322" spans="1:8" x14ac:dyDescent="0.35">
      <c r="A1322" s="11">
        <v>41825</v>
      </c>
      <c r="B1322" s="12">
        <v>2823</v>
      </c>
      <c r="C1322" s="13" t="s">
        <v>27</v>
      </c>
      <c r="D1322" s="13" t="s">
        <v>35</v>
      </c>
      <c r="E1322" s="13" t="s">
        <v>28</v>
      </c>
      <c r="F1322" s="13">
        <v>7</v>
      </c>
      <c r="G1322" s="13">
        <v>2044</v>
      </c>
      <c r="H1322" s="13">
        <v>671.45400000000006</v>
      </c>
    </row>
    <row r="1323" spans="1:8" x14ac:dyDescent="0.35">
      <c r="A1323" s="11">
        <v>41826</v>
      </c>
      <c r="B1323" s="12">
        <v>2459</v>
      </c>
      <c r="C1323" s="13" t="s">
        <v>26</v>
      </c>
      <c r="D1323" s="13" t="s">
        <v>35</v>
      </c>
      <c r="E1323" s="13" t="s">
        <v>29</v>
      </c>
      <c r="F1323" s="13">
        <v>7</v>
      </c>
      <c r="G1323" s="13">
        <v>2625</v>
      </c>
      <c r="H1323" s="13">
        <v>2775.1499999999996</v>
      </c>
    </row>
    <row r="1324" spans="1:8" x14ac:dyDescent="0.35">
      <c r="A1324" s="11">
        <v>41827</v>
      </c>
      <c r="B1324" s="12">
        <v>2824</v>
      </c>
      <c r="C1324" s="13" t="s">
        <v>23</v>
      </c>
      <c r="D1324" s="13" t="s">
        <v>35</v>
      </c>
      <c r="E1324" s="13" t="s">
        <v>28</v>
      </c>
      <c r="F1324" s="13">
        <v>10</v>
      </c>
      <c r="G1324" s="13">
        <v>14650</v>
      </c>
      <c r="H1324" s="13">
        <v>3042.2190000000001</v>
      </c>
    </row>
    <row r="1325" spans="1:8" x14ac:dyDescent="0.35">
      <c r="A1325" s="11">
        <v>41828</v>
      </c>
      <c r="B1325" s="12">
        <v>2460</v>
      </c>
      <c r="C1325" s="13" t="s">
        <v>27</v>
      </c>
      <c r="D1325" s="13" t="s">
        <v>35</v>
      </c>
      <c r="E1325" s="13" t="s">
        <v>25</v>
      </c>
      <c r="F1325" s="13">
        <v>9</v>
      </c>
      <c r="G1325" s="13">
        <v>2997</v>
      </c>
      <c r="H1325" s="13">
        <v>5626.8675000000003</v>
      </c>
    </row>
    <row r="1326" spans="1:8" x14ac:dyDescent="0.35">
      <c r="A1326" s="11">
        <v>41829</v>
      </c>
      <c r="B1326" s="12">
        <v>2825</v>
      </c>
      <c r="C1326" s="13" t="s">
        <v>26</v>
      </c>
      <c r="D1326" s="13" t="s">
        <v>35</v>
      </c>
      <c r="E1326" s="13" t="s">
        <v>28</v>
      </c>
      <c r="F1326" s="13">
        <v>8</v>
      </c>
      <c r="G1326" s="13">
        <v>11070</v>
      </c>
      <c r="H1326" s="13">
        <v>940.5071999999999</v>
      </c>
    </row>
  </sheetData>
  <conditionalFormatting sqref="B1:B1048576">
    <cfRule type="duplicateValues" dxfId="4" priority="4"/>
  </conditionalFormatting>
  <conditionalFormatting sqref="G2:G1326">
    <cfRule type="iconSet" priority="3">
      <iconSet iconSet="3Arrows">
        <cfvo type="percent" val="0"/>
        <cfvo type="num" val="5000"/>
        <cfvo type="num" val="8000"/>
      </iconSet>
    </cfRule>
  </conditionalFormatting>
  <conditionalFormatting sqref="A2:A1326">
    <cfRule type="expression" dxfId="3" priority="1">
      <formula>A2&gt;$J$1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B44D-9F4F-4121-B019-2E027AE9863F}">
  <dimension ref="A1:O1326"/>
  <sheetViews>
    <sheetView tabSelected="1" workbookViewId="0">
      <selection activeCell="K11" sqref="K11"/>
    </sheetView>
  </sheetViews>
  <sheetFormatPr defaultRowHeight="14.5" x14ac:dyDescent="0.35"/>
  <cols>
    <col min="11" max="11" width="16" customWidth="1"/>
    <col min="12" max="12" width="19.1796875" customWidth="1"/>
  </cols>
  <sheetData>
    <row r="1" spans="1:15" x14ac:dyDescent="0.35">
      <c r="A1" s="17" t="s">
        <v>16</v>
      </c>
      <c r="B1" s="17" t="s">
        <v>17</v>
      </c>
      <c r="C1" s="17" t="s">
        <v>18</v>
      </c>
      <c r="D1" s="17" t="s">
        <v>0</v>
      </c>
      <c r="E1" s="17" t="s">
        <v>19</v>
      </c>
      <c r="F1" s="17" t="s">
        <v>20</v>
      </c>
      <c r="G1" s="17" t="s">
        <v>21</v>
      </c>
      <c r="H1" s="17" t="s">
        <v>22</v>
      </c>
      <c r="I1" s="19"/>
      <c r="J1" s="19"/>
      <c r="K1" s="17" t="s">
        <v>36</v>
      </c>
      <c r="L1" s="17" t="s">
        <v>37</v>
      </c>
      <c r="M1" s="17" t="s">
        <v>38</v>
      </c>
      <c r="N1" s="17" t="s">
        <v>39</v>
      </c>
      <c r="O1" s="17" t="s">
        <v>40</v>
      </c>
    </row>
    <row r="2" spans="1:15" x14ac:dyDescent="0.35">
      <c r="A2">
        <v>40909</v>
      </c>
      <c r="B2">
        <v>1111</v>
      </c>
      <c r="C2" t="s">
        <v>23</v>
      </c>
      <c r="D2" t="s">
        <v>24</v>
      </c>
      <c r="E2" t="s">
        <v>25</v>
      </c>
      <c r="F2">
        <v>8</v>
      </c>
      <c r="G2">
        <v>7164</v>
      </c>
      <c r="H2">
        <v>5</v>
      </c>
      <c r="K2" t="str">
        <f>IF(G2&gt;10000,"5%",IF(AND(G2&gt;=5000,G2&lt;10000),"2.5%","1.5%"))</f>
        <v>2.5%</v>
      </c>
      <c r="L2" t="str">
        <f>IF(OR(G2&gt;10000,H2&gt;=5000),"Good","Need Improvement")</f>
        <v>Need Improvement</v>
      </c>
      <c r="M2" t="b">
        <f>TRUE()</f>
        <v>1</v>
      </c>
      <c r="N2" t="b">
        <f>FALSE()</f>
        <v>0</v>
      </c>
      <c r="O2" s="18" t="b">
        <f>NOT(M2)</f>
        <v>0</v>
      </c>
    </row>
    <row r="3" spans="1:15" x14ac:dyDescent="0.35">
      <c r="A3">
        <v>40910</v>
      </c>
      <c r="B3">
        <v>1112</v>
      </c>
      <c r="C3" t="s">
        <v>26</v>
      </c>
      <c r="D3" t="s">
        <v>24</v>
      </c>
      <c r="E3" t="s">
        <v>25</v>
      </c>
      <c r="F3">
        <v>8</v>
      </c>
      <c r="G3">
        <v>6528</v>
      </c>
      <c r="H3">
        <v>3376.6319999999996</v>
      </c>
      <c r="K3" t="str">
        <f t="shared" ref="K3:K66" si="0">IF(G3&gt;10000,"5%",IF(AND(G3&gt;=5000,G3&lt;10000),"2.5%","1.5%"))</f>
        <v>2.5%</v>
      </c>
      <c r="L3" t="str">
        <f t="shared" ref="L3:L66" si="1">IF(OR(G3&gt;10000,H3&gt;=5000),"Good","Need Improvement")</f>
        <v>Need Improvement</v>
      </c>
      <c r="M3" t="b">
        <f>TRUE()</f>
        <v>1</v>
      </c>
      <c r="N3" t="b">
        <f>FALSE()</f>
        <v>0</v>
      </c>
      <c r="O3" s="18" t="b">
        <f t="shared" ref="O3:O66" si="2">NOT(M3)</f>
        <v>0</v>
      </c>
    </row>
    <row r="4" spans="1:15" x14ac:dyDescent="0.35">
      <c r="A4">
        <v>40911</v>
      </c>
      <c r="B4">
        <v>1113</v>
      </c>
      <c r="C4" t="s">
        <v>27</v>
      </c>
      <c r="D4" t="s">
        <v>24</v>
      </c>
      <c r="E4" t="s">
        <v>28</v>
      </c>
      <c r="F4">
        <v>8</v>
      </c>
      <c r="G4">
        <v>2520</v>
      </c>
      <c r="H4">
        <v>2280</v>
      </c>
      <c r="K4" t="str">
        <f t="shared" si="0"/>
        <v>1.5%</v>
      </c>
      <c r="L4" t="str">
        <f t="shared" si="1"/>
        <v>Need Improvement</v>
      </c>
      <c r="M4" t="b">
        <f>TRUE()</f>
        <v>1</v>
      </c>
      <c r="N4" t="b">
        <f>FALSE()</f>
        <v>0</v>
      </c>
      <c r="O4" s="18" t="b">
        <f t="shared" si="2"/>
        <v>0</v>
      </c>
    </row>
    <row r="5" spans="1:15" x14ac:dyDescent="0.35">
      <c r="A5">
        <v>40913</v>
      </c>
      <c r="B5">
        <v>1115</v>
      </c>
      <c r="C5" t="s">
        <v>26</v>
      </c>
      <c r="D5" t="s">
        <v>24</v>
      </c>
      <c r="E5" t="s">
        <v>28</v>
      </c>
      <c r="F5">
        <v>10</v>
      </c>
      <c r="G5">
        <v>9660</v>
      </c>
      <c r="H5">
        <v>1737.3510000000001</v>
      </c>
      <c r="K5" t="str">
        <f t="shared" si="0"/>
        <v>2.5%</v>
      </c>
      <c r="L5" t="str">
        <f t="shared" si="1"/>
        <v>Need Improvement</v>
      </c>
      <c r="M5" t="b">
        <f>TRUE()</f>
        <v>1</v>
      </c>
      <c r="N5" t="b">
        <f>FALSE()</f>
        <v>0</v>
      </c>
      <c r="O5" s="18" t="b">
        <f t="shared" si="2"/>
        <v>0</v>
      </c>
    </row>
    <row r="6" spans="1:15" x14ac:dyDescent="0.35">
      <c r="A6">
        <v>40914</v>
      </c>
      <c r="B6">
        <v>1111</v>
      </c>
      <c r="C6" t="s">
        <v>27</v>
      </c>
      <c r="D6" t="s">
        <v>24</v>
      </c>
      <c r="E6" t="s">
        <v>29</v>
      </c>
      <c r="F6">
        <v>10</v>
      </c>
      <c r="G6">
        <v>11550</v>
      </c>
      <c r="H6">
        <v>854.69999999999993</v>
      </c>
      <c r="K6" t="str">
        <f t="shared" si="0"/>
        <v>5%</v>
      </c>
      <c r="L6" t="str">
        <f t="shared" si="1"/>
        <v>Good</v>
      </c>
      <c r="M6" t="b">
        <f>TRUE()</f>
        <v>1</v>
      </c>
      <c r="N6" t="b">
        <f>FALSE()</f>
        <v>0</v>
      </c>
      <c r="O6" s="18" t="b">
        <f t="shared" si="2"/>
        <v>0</v>
      </c>
    </row>
    <row r="7" spans="1:15" x14ac:dyDescent="0.35">
      <c r="A7">
        <v>40915</v>
      </c>
      <c r="B7">
        <v>1117</v>
      </c>
      <c r="C7" t="s">
        <v>23</v>
      </c>
      <c r="D7" t="s">
        <v>24</v>
      </c>
      <c r="E7" t="s">
        <v>29</v>
      </c>
      <c r="F7">
        <v>7</v>
      </c>
      <c r="G7">
        <v>7896</v>
      </c>
      <c r="H7">
        <v>2565.4104000000002</v>
      </c>
      <c r="K7" t="str">
        <f t="shared" si="0"/>
        <v>2.5%</v>
      </c>
      <c r="L7" t="str">
        <f t="shared" si="1"/>
        <v>Need Improvement</v>
      </c>
      <c r="M7" t="b">
        <f>TRUE()</f>
        <v>1</v>
      </c>
      <c r="N7" t="b">
        <f>FALSE()</f>
        <v>0</v>
      </c>
      <c r="O7" s="18" t="b">
        <f t="shared" si="2"/>
        <v>0</v>
      </c>
    </row>
    <row r="8" spans="1:15" x14ac:dyDescent="0.35">
      <c r="A8">
        <v>40916</v>
      </c>
      <c r="B8">
        <v>1118</v>
      </c>
      <c r="C8" t="s">
        <v>26</v>
      </c>
      <c r="D8" t="s">
        <v>24</v>
      </c>
      <c r="E8" t="s">
        <v>29</v>
      </c>
      <c r="F8">
        <v>7</v>
      </c>
      <c r="G8">
        <v>8095.5</v>
      </c>
      <c r="H8">
        <v>1063.2090000000001</v>
      </c>
      <c r="K8" t="str">
        <f t="shared" si="0"/>
        <v>2.5%</v>
      </c>
      <c r="L8" t="str">
        <f t="shared" si="1"/>
        <v>Need Improvement</v>
      </c>
      <c r="M8" t="b">
        <f>TRUE()</f>
        <v>1</v>
      </c>
      <c r="N8" t="b">
        <f>FALSE()</f>
        <v>0</v>
      </c>
      <c r="O8" s="18" t="b">
        <f t="shared" si="2"/>
        <v>0</v>
      </c>
    </row>
    <row r="9" spans="1:15" x14ac:dyDescent="0.35">
      <c r="A9">
        <v>40917</v>
      </c>
      <c r="B9">
        <v>1119</v>
      </c>
      <c r="C9" t="s">
        <v>27</v>
      </c>
      <c r="D9" t="s">
        <v>24</v>
      </c>
      <c r="E9" t="s">
        <v>25</v>
      </c>
      <c r="F9">
        <v>8</v>
      </c>
      <c r="G9">
        <v>12180</v>
      </c>
      <c r="H9">
        <v>1864.0272</v>
      </c>
      <c r="K9" t="str">
        <f t="shared" si="0"/>
        <v>5%</v>
      </c>
      <c r="L9" t="str">
        <f t="shared" si="1"/>
        <v>Good</v>
      </c>
      <c r="M9" t="b">
        <f>TRUE()</f>
        <v>1</v>
      </c>
      <c r="N9" t="b">
        <f>FALSE()</f>
        <v>0</v>
      </c>
      <c r="O9" s="18" t="b">
        <f t="shared" si="2"/>
        <v>0</v>
      </c>
    </row>
    <row r="10" spans="1:15" x14ac:dyDescent="0.35">
      <c r="A10">
        <v>40918</v>
      </c>
      <c r="B10">
        <v>1111</v>
      </c>
      <c r="C10" t="s">
        <v>23</v>
      </c>
      <c r="D10" t="s">
        <v>24</v>
      </c>
      <c r="E10" t="s">
        <v>25</v>
      </c>
      <c r="F10">
        <v>6</v>
      </c>
      <c r="G10">
        <v>4900.5</v>
      </c>
      <c r="H10">
        <v>2653.62075</v>
      </c>
      <c r="K10" t="str">
        <f t="shared" si="0"/>
        <v>1.5%</v>
      </c>
      <c r="L10" t="str">
        <f t="shared" si="1"/>
        <v>Need Improvement</v>
      </c>
      <c r="M10" t="b">
        <f>TRUE()</f>
        <v>1</v>
      </c>
      <c r="N10" t="b">
        <f>FALSE()</f>
        <v>0</v>
      </c>
      <c r="O10" s="18" t="b">
        <f t="shared" si="2"/>
        <v>0</v>
      </c>
    </row>
    <row r="11" spans="1:15" x14ac:dyDescent="0.35">
      <c r="A11">
        <v>40919</v>
      </c>
      <c r="B11">
        <v>1121</v>
      </c>
      <c r="C11" t="s">
        <v>26</v>
      </c>
      <c r="D11" t="s">
        <v>24</v>
      </c>
      <c r="E11" t="s">
        <v>25</v>
      </c>
      <c r="F11">
        <v>9</v>
      </c>
      <c r="G11">
        <v>2277</v>
      </c>
      <c r="H11">
        <v>1931.3513999999998</v>
      </c>
      <c r="K11" t="str">
        <f t="shared" si="0"/>
        <v>1.5%</v>
      </c>
      <c r="L11" t="str">
        <f t="shared" si="1"/>
        <v>Need Improvement</v>
      </c>
      <c r="M11" t="b">
        <f>TRUE()</f>
        <v>1</v>
      </c>
      <c r="N11" t="b">
        <f>FALSE()</f>
        <v>0</v>
      </c>
      <c r="O11" s="18" t="b">
        <f t="shared" si="2"/>
        <v>0</v>
      </c>
    </row>
    <row r="12" spans="1:15" x14ac:dyDescent="0.35">
      <c r="A12">
        <v>40920</v>
      </c>
      <c r="B12">
        <v>1122</v>
      </c>
      <c r="C12" t="s">
        <v>27</v>
      </c>
      <c r="D12" t="s">
        <v>24</v>
      </c>
      <c r="E12" t="s">
        <v>28</v>
      </c>
      <c r="F12">
        <v>6</v>
      </c>
      <c r="G12">
        <v>8032.5</v>
      </c>
      <c r="H12">
        <v>994.4235000000001</v>
      </c>
      <c r="K12" t="str">
        <f t="shared" si="0"/>
        <v>2.5%</v>
      </c>
      <c r="L12" t="str">
        <f t="shared" si="1"/>
        <v>Need Improvement</v>
      </c>
      <c r="M12" t="b">
        <f>TRUE()</f>
        <v>1</v>
      </c>
      <c r="N12" t="b">
        <f>FALSE()</f>
        <v>0</v>
      </c>
      <c r="O12" s="18" t="b">
        <f t="shared" si="2"/>
        <v>0</v>
      </c>
    </row>
    <row r="13" spans="1:15" x14ac:dyDescent="0.35">
      <c r="A13">
        <v>40921</v>
      </c>
      <c r="B13">
        <v>1123</v>
      </c>
      <c r="C13" t="s">
        <v>23</v>
      </c>
      <c r="D13" t="s">
        <v>24</v>
      </c>
      <c r="E13" t="s">
        <v>28</v>
      </c>
      <c r="F13">
        <v>9</v>
      </c>
      <c r="G13">
        <v>8046</v>
      </c>
      <c r="H13">
        <v>4092.732</v>
      </c>
      <c r="K13" t="str">
        <f t="shared" si="0"/>
        <v>2.5%</v>
      </c>
      <c r="L13" t="str">
        <f t="shared" si="1"/>
        <v>Need Improvement</v>
      </c>
      <c r="M13" t="b">
        <f>TRUE()</f>
        <v>1</v>
      </c>
      <c r="N13" t="b">
        <f>FALSE()</f>
        <v>0</v>
      </c>
      <c r="O13" s="18" t="b">
        <f t="shared" si="2"/>
        <v>0</v>
      </c>
    </row>
    <row r="14" spans="1:15" x14ac:dyDescent="0.35">
      <c r="A14">
        <v>40922</v>
      </c>
      <c r="B14">
        <v>1124</v>
      </c>
      <c r="C14" t="s">
        <v>26</v>
      </c>
      <c r="D14" t="s">
        <v>24</v>
      </c>
      <c r="E14" t="s">
        <v>28</v>
      </c>
      <c r="F14">
        <v>6</v>
      </c>
      <c r="G14">
        <v>11250</v>
      </c>
      <c r="H14">
        <v>1900.8000000000002</v>
      </c>
      <c r="K14" t="str">
        <f t="shared" si="0"/>
        <v>5%</v>
      </c>
      <c r="L14" t="str">
        <f t="shared" si="1"/>
        <v>Good</v>
      </c>
      <c r="M14" t="b">
        <f>TRUE()</f>
        <v>1</v>
      </c>
      <c r="N14" t="b">
        <f>FALSE()</f>
        <v>0</v>
      </c>
      <c r="O14" s="18" t="b">
        <f t="shared" si="2"/>
        <v>0</v>
      </c>
    </row>
    <row r="15" spans="1:15" x14ac:dyDescent="0.35">
      <c r="A15">
        <v>40923</v>
      </c>
      <c r="B15">
        <v>1125</v>
      </c>
      <c r="C15" t="s">
        <v>27</v>
      </c>
      <c r="D15" t="s">
        <v>24</v>
      </c>
      <c r="E15" t="s">
        <v>29</v>
      </c>
      <c r="F15">
        <v>7</v>
      </c>
      <c r="G15">
        <v>6189.75</v>
      </c>
      <c r="H15">
        <v>2722.8710250000004</v>
      </c>
      <c r="K15" t="str">
        <f t="shared" si="0"/>
        <v>2.5%</v>
      </c>
      <c r="L15" t="str">
        <f t="shared" si="1"/>
        <v>Need Improvement</v>
      </c>
      <c r="M15" t="b">
        <f>TRUE()</f>
        <v>1</v>
      </c>
      <c r="N15" t="b">
        <f>FALSE()</f>
        <v>0</v>
      </c>
      <c r="O15" s="18" t="b">
        <f t="shared" si="2"/>
        <v>0</v>
      </c>
    </row>
    <row r="16" spans="1:15" x14ac:dyDescent="0.35">
      <c r="A16">
        <v>40924</v>
      </c>
      <c r="B16">
        <v>1126</v>
      </c>
      <c r="C16" t="s">
        <v>23</v>
      </c>
      <c r="D16" t="s">
        <v>24</v>
      </c>
      <c r="E16" t="s">
        <v>29</v>
      </c>
      <c r="F16">
        <v>7</v>
      </c>
      <c r="G16">
        <v>2908.5</v>
      </c>
      <c r="H16">
        <v>1140.7136999999998</v>
      </c>
      <c r="K16" t="str">
        <f t="shared" si="0"/>
        <v>1.5%</v>
      </c>
      <c r="L16" t="str">
        <f t="shared" si="1"/>
        <v>Need Improvement</v>
      </c>
      <c r="M16" t="b">
        <f>TRUE()</f>
        <v>1</v>
      </c>
      <c r="N16" t="b">
        <f>FALSE()</f>
        <v>0</v>
      </c>
      <c r="O16" s="18" t="b">
        <f t="shared" si="2"/>
        <v>0</v>
      </c>
    </row>
    <row r="17" spans="1:15" x14ac:dyDescent="0.35">
      <c r="A17">
        <v>40925</v>
      </c>
      <c r="B17">
        <v>1127</v>
      </c>
      <c r="C17" t="s">
        <v>26</v>
      </c>
      <c r="D17" t="s">
        <v>24</v>
      </c>
      <c r="E17" t="s">
        <v>29</v>
      </c>
      <c r="F17">
        <v>6</v>
      </c>
      <c r="G17">
        <v>2214</v>
      </c>
      <c r="H17">
        <v>2828.6063999999997</v>
      </c>
      <c r="K17" t="str">
        <f t="shared" si="0"/>
        <v>1.5%</v>
      </c>
      <c r="L17" t="str">
        <f t="shared" si="1"/>
        <v>Need Improvement</v>
      </c>
      <c r="M17" t="b">
        <f>TRUE()</f>
        <v>1</v>
      </c>
      <c r="N17" t="b">
        <f>FALSE()</f>
        <v>0</v>
      </c>
      <c r="O17" s="18" t="b">
        <f t="shared" si="2"/>
        <v>0</v>
      </c>
    </row>
    <row r="18" spans="1:15" x14ac:dyDescent="0.35">
      <c r="A18">
        <v>40926</v>
      </c>
      <c r="B18">
        <v>1128</v>
      </c>
      <c r="C18" t="s">
        <v>27</v>
      </c>
      <c r="D18" t="s">
        <v>24</v>
      </c>
      <c r="E18" t="s">
        <v>25</v>
      </c>
      <c r="F18">
        <v>9</v>
      </c>
      <c r="G18">
        <v>8829</v>
      </c>
      <c r="H18">
        <v>4189.3605000000007</v>
      </c>
      <c r="K18" t="str">
        <f t="shared" si="0"/>
        <v>2.5%</v>
      </c>
      <c r="L18" t="str">
        <f t="shared" si="1"/>
        <v>Need Improvement</v>
      </c>
      <c r="M18" t="b">
        <f>TRUE()</f>
        <v>1</v>
      </c>
      <c r="N18" t="b">
        <f>FALSE()</f>
        <v>0</v>
      </c>
      <c r="O18" s="18" t="b">
        <f t="shared" si="2"/>
        <v>0</v>
      </c>
    </row>
    <row r="19" spans="1:15" x14ac:dyDescent="0.35">
      <c r="A19">
        <v>40927</v>
      </c>
      <c r="B19">
        <v>1129</v>
      </c>
      <c r="C19" t="s">
        <v>23</v>
      </c>
      <c r="D19" t="s">
        <v>24</v>
      </c>
      <c r="E19" t="s">
        <v>25</v>
      </c>
      <c r="F19">
        <v>10</v>
      </c>
      <c r="G19">
        <v>9120</v>
      </c>
      <c r="H19">
        <v>3569.3399999999997</v>
      </c>
      <c r="K19" t="str">
        <f t="shared" si="0"/>
        <v>2.5%</v>
      </c>
      <c r="L19" t="str">
        <f t="shared" si="1"/>
        <v>Need Improvement</v>
      </c>
      <c r="M19" t="b">
        <f>TRUE()</f>
        <v>1</v>
      </c>
      <c r="N19" t="b">
        <f>FALSE()</f>
        <v>0</v>
      </c>
      <c r="O19" s="18" t="b">
        <f t="shared" si="2"/>
        <v>0</v>
      </c>
    </row>
    <row r="20" spans="1:15" x14ac:dyDescent="0.35">
      <c r="A20">
        <v>40928</v>
      </c>
      <c r="B20">
        <v>1130</v>
      </c>
      <c r="C20" t="s">
        <v>26</v>
      </c>
      <c r="D20" t="s">
        <v>24</v>
      </c>
      <c r="E20" t="s">
        <v>25</v>
      </c>
      <c r="F20">
        <v>6</v>
      </c>
      <c r="G20">
        <v>2173.5</v>
      </c>
      <c r="H20">
        <v>3709.0777500000004</v>
      </c>
      <c r="K20" t="str">
        <f t="shared" si="0"/>
        <v>1.5%</v>
      </c>
      <c r="L20" t="str">
        <f t="shared" si="1"/>
        <v>Need Improvement</v>
      </c>
      <c r="M20" t="b">
        <f>TRUE()</f>
        <v>1</v>
      </c>
      <c r="N20" t="b">
        <f>FALSE()</f>
        <v>0</v>
      </c>
      <c r="O20" s="18" t="b">
        <f t="shared" si="2"/>
        <v>0</v>
      </c>
    </row>
    <row r="21" spans="1:15" x14ac:dyDescent="0.35">
      <c r="A21">
        <v>40929</v>
      </c>
      <c r="B21">
        <v>1131</v>
      </c>
      <c r="C21" t="s">
        <v>27</v>
      </c>
      <c r="D21" t="s">
        <v>24</v>
      </c>
      <c r="E21" t="s">
        <v>28</v>
      </c>
      <c r="F21">
        <v>10</v>
      </c>
      <c r="G21">
        <v>5600</v>
      </c>
      <c r="H21">
        <v>4516.3999999999996</v>
      </c>
      <c r="K21" t="str">
        <f t="shared" si="0"/>
        <v>2.5%</v>
      </c>
      <c r="L21" t="str">
        <f t="shared" si="1"/>
        <v>Need Improvement</v>
      </c>
      <c r="M21" t="b">
        <f>TRUE()</f>
        <v>1</v>
      </c>
      <c r="N21" t="b">
        <f>FALSE()</f>
        <v>0</v>
      </c>
      <c r="O21" s="18" t="b">
        <f t="shared" si="2"/>
        <v>0</v>
      </c>
    </row>
    <row r="22" spans="1:15" x14ac:dyDescent="0.35">
      <c r="A22">
        <v>40930</v>
      </c>
      <c r="B22">
        <v>1132</v>
      </c>
      <c r="C22" t="s">
        <v>23</v>
      </c>
      <c r="D22" t="s">
        <v>24</v>
      </c>
      <c r="E22" t="s">
        <v>28</v>
      </c>
      <c r="F22">
        <v>6</v>
      </c>
      <c r="G22">
        <v>4608</v>
      </c>
      <c r="H22">
        <v>2575.4111999999996</v>
      </c>
      <c r="K22" t="str">
        <f t="shared" si="0"/>
        <v>1.5%</v>
      </c>
      <c r="L22" t="str">
        <f t="shared" si="1"/>
        <v>Need Improvement</v>
      </c>
      <c r="M22" t="b">
        <f>TRUE()</f>
        <v>1</v>
      </c>
      <c r="N22" t="b">
        <f>FALSE()</f>
        <v>0</v>
      </c>
      <c r="O22" s="18" t="b">
        <f t="shared" si="2"/>
        <v>0</v>
      </c>
    </row>
    <row r="23" spans="1:15" x14ac:dyDescent="0.35">
      <c r="A23">
        <v>40931</v>
      </c>
      <c r="B23">
        <v>1133</v>
      </c>
      <c r="C23" t="s">
        <v>26</v>
      </c>
      <c r="D23" t="s">
        <v>24</v>
      </c>
      <c r="E23" t="s">
        <v>28</v>
      </c>
      <c r="F23">
        <v>8</v>
      </c>
      <c r="G23">
        <v>5508</v>
      </c>
      <c r="H23">
        <v>1965.2544000000003</v>
      </c>
      <c r="K23" t="str">
        <f t="shared" si="0"/>
        <v>2.5%</v>
      </c>
      <c r="L23" t="str">
        <f t="shared" si="1"/>
        <v>Need Improvement</v>
      </c>
      <c r="M23" t="b">
        <f>TRUE()</f>
        <v>1</v>
      </c>
      <c r="N23" t="b">
        <f>FALSE()</f>
        <v>0</v>
      </c>
      <c r="O23" s="18" t="b">
        <f t="shared" si="2"/>
        <v>0</v>
      </c>
    </row>
    <row r="24" spans="1:15" x14ac:dyDescent="0.35">
      <c r="A24">
        <v>40932</v>
      </c>
      <c r="B24">
        <v>1134</v>
      </c>
      <c r="C24" t="s">
        <v>27</v>
      </c>
      <c r="D24" t="s">
        <v>24</v>
      </c>
      <c r="E24" t="s">
        <v>29</v>
      </c>
      <c r="F24">
        <v>9</v>
      </c>
      <c r="G24">
        <v>12735</v>
      </c>
      <c r="H24">
        <v>3907.0980000000004</v>
      </c>
      <c r="K24" t="str">
        <f t="shared" si="0"/>
        <v>5%</v>
      </c>
      <c r="L24" t="str">
        <f t="shared" si="1"/>
        <v>Good</v>
      </c>
      <c r="M24" t="b">
        <f>TRUE()</f>
        <v>1</v>
      </c>
      <c r="N24" t="b">
        <f>FALSE()</f>
        <v>0</v>
      </c>
      <c r="O24" s="18" t="b">
        <f t="shared" si="2"/>
        <v>0</v>
      </c>
    </row>
    <row r="25" spans="1:15" x14ac:dyDescent="0.35">
      <c r="A25">
        <v>40933</v>
      </c>
      <c r="B25">
        <v>1135</v>
      </c>
      <c r="C25" t="s">
        <v>23</v>
      </c>
      <c r="D25" t="s">
        <v>24</v>
      </c>
      <c r="E25" t="s">
        <v>29</v>
      </c>
      <c r="F25">
        <v>10</v>
      </c>
      <c r="G25">
        <v>13575</v>
      </c>
      <c r="H25">
        <v>1992.81</v>
      </c>
      <c r="K25" t="str">
        <f t="shared" si="0"/>
        <v>5%</v>
      </c>
      <c r="L25" t="str">
        <f t="shared" si="1"/>
        <v>Good</v>
      </c>
      <c r="M25" t="b">
        <f>TRUE()</f>
        <v>1</v>
      </c>
      <c r="N25" t="b">
        <f>FALSE()</f>
        <v>0</v>
      </c>
      <c r="O25" s="18" t="b">
        <f t="shared" si="2"/>
        <v>0</v>
      </c>
    </row>
    <row r="26" spans="1:15" x14ac:dyDescent="0.35">
      <c r="A26">
        <v>40934</v>
      </c>
      <c r="B26">
        <v>1136</v>
      </c>
      <c r="C26" t="s">
        <v>26</v>
      </c>
      <c r="D26" t="s">
        <v>24</v>
      </c>
      <c r="E26" t="s">
        <v>29</v>
      </c>
      <c r="F26">
        <v>9</v>
      </c>
      <c r="G26">
        <v>8892</v>
      </c>
      <c r="H26">
        <v>3084.6347999999998</v>
      </c>
      <c r="K26" t="str">
        <f t="shared" si="0"/>
        <v>2.5%</v>
      </c>
      <c r="L26" t="str">
        <f t="shared" si="1"/>
        <v>Need Improvement</v>
      </c>
      <c r="M26" t="b">
        <f>TRUE()</f>
        <v>1</v>
      </c>
      <c r="N26" t="b">
        <f>FALSE()</f>
        <v>0</v>
      </c>
      <c r="O26" s="18" t="b">
        <f t="shared" si="2"/>
        <v>0</v>
      </c>
    </row>
    <row r="27" spans="1:15" x14ac:dyDescent="0.35">
      <c r="A27">
        <v>40935</v>
      </c>
      <c r="B27">
        <v>1137</v>
      </c>
      <c r="C27" t="s">
        <v>27</v>
      </c>
      <c r="D27" t="s">
        <v>24</v>
      </c>
      <c r="E27" t="s">
        <v>25</v>
      </c>
      <c r="F27">
        <v>9</v>
      </c>
      <c r="G27">
        <v>6196.5</v>
      </c>
      <c r="H27">
        <v>3112.7084999999997</v>
      </c>
      <c r="K27" t="str">
        <f t="shared" si="0"/>
        <v>2.5%</v>
      </c>
      <c r="L27" t="str">
        <f t="shared" si="1"/>
        <v>Need Improvement</v>
      </c>
      <c r="M27" t="b">
        <f>TRUE()</f>
        <v>1</v>
      </c>
      <c r="N27" t="b">
        <f>FALSE()</f>
        <v>0</v>
      </c>
      <c r="O27" s="18" t="b">
        <f t="shared" si="2"/>
        <v>0</v>
      </c>
    </row>
    <row r="28" spans="1:15" x14ac:dyDescent="0.35">
      <c r="A28">
        <v>40936</v>
      </c>
      <c r="B28">
        <v>1138</v>
      </c>
      <c r="C28" t="s">
        <v>23</v>
      </c>
      <c r="D28" t="s">
        <v>24</v>
      </c>
      <c r="E28" t="s">
        <v>25</v>
      </c>
      <c r="F28">
        <v>7</v>
      </c>
      <c r="G28">
        <v>4063.5</v>
      </c>
      <c r="H28">
        <v>709.69027499999993</v>
      </c>
      <c r="K28" t="str">
        <f t="shared" si="0"/>
        <v>1.5%</v>
      </c>
      <c r="L28" t="str">
        <f t="shared" si="1"/>
        <v>Need Improvement</v>
      </c>
      <c r="M28" t="b">
        <f>TRUE()</f>
        <v>1</v>
      </c>
      <c r="N28" t="b">
        <f>FALSE()</f>
        <v>0</v>
      </c>
      <c r="O28" s="18" t="b">
        <f t="shared" si="2"/>
        <v>0</v>
      </c>
    </row>
    <row r="29" spans="1:15" x14ac:dyDescent="0.35">
      <c r="A29">
        <v>40937</v>
      </c>
      <c r="B29">
        <v>1139</v>
      </c>
      <c r="C29" t="s">
        <v>26</v>
      </c>
      <c r="D29" t="s">
        <v>24</v>
      </c>
      <c r="E29" t="s">
        <v>25</v>
      </c>
      <c r="F29">
        <v>9</v>
      </c>
      <c r="G29">
        <v>4464</v>
      </c>
      <c r="H29">
        <v>2483.5464000000002</v>
      </c>
      <c r="K29" t="str">
        <f t="shared" si="0"/>
        <v>1.5%</v>
      </c>
      <c r="L29" t="str">
        <f t="shared" si="1"/>
        <v>Need Improvement</v>
      </c>
      <c r="M29" t="b">
        <f>TRUE()</f>
        <v>1</v>
      </c>
      <c r="N29" t="b">
        <f>FALSE()</f>
        <v>0</v>
      </c>
      <c r="O29" s="18" t="b">
        <f t="shared" si="2"/>
        <v>0</v>
      </c>
    </row>
    <row r="30" spans="1:15" x14ac:dyDescent="0.35">
      <c r="A30">
        <v>40938</v>
      </c>
      <c r="B30">
        <v>1140</v>
      </c>
      <c r="C30" t="s">
        <v>27</v>
      </c>
      <c r="D30" t="s">
        <v>24</v>
      </c>
      <c r="E30" t="s">
        <v>28</v>
      </c>
      <c r="F30">
        <v>10</v>
      </c>
      <c r="G30">
        <v>10350</v>
      </c>
      <c r="H30">
        <v>4514.67</v>
      </c>
      <c r="K30" t="str">
        <f t="shared" si="0"/>
        <v>5%</v>
      </c>
      <c r="L30" t="str">
        <f t="shared" si="1"/>
        <v>Good</v>
      </c>
      <c r="M30" t="b">
        <f>TRUE()</f>
        <v>1</v>
      </c>
      <c r="N30" t="b">
        <f>FALSE()</f>
        <v>0</v>
      </c>
      <c r="O30" s="18" t="b">
        <f t="shared" si="2"/>
        <v>0</v>
      </c>
    </row>
    <row r="31" spans="1:15" x14ac:dyDescent="0.35">
      <c r="A31">
        <v>40939</v>
      </c>
      <c r="B31">
        <v>1141</v>
      </c>
      <c r="C31" t="s">
        <v>23</v>
      </c>
      <c r="D31" t="s">
        <v>24</v>
      </c>
      <c r="E31" t="s">
        <v>28</v>
      </c>
      <c r="F31">
        <v>10</v>
      </c>
      <c r="G31">
        <v>8680</v>
      </c>
      <c r="H31">
        <v>2494.6320000000001</v>
      </c>
      <c r="K31" t="str">
        <f t="shared" si="0"/>
        <v>2.5%</v>
      </c>
      <c r="L31" t="str">
        <f t="shared" si="1"/>
        <v>Need Improvement</v>
      </c>
      <c r="M31" t="b">
        <f>TRUE()</f>
        <v>1</v>
      </c>
      <c r="N31" t="b">
        <f>FALSE()</f>
        <v>0</v>
      </c>
      <c r="O31" s="18" t="b">
        <f t="shared" si="2"/>
        <v>0</v>
      </c>
    </row>
    <row r="32" spans="1:15" x14ac:dyDescent="0.35">
      <c r="A32">
        <v>40940</v>
      </c>
      <c r="B32">
        <v>1142</v>
      </c>
      <c r="C32" t="s">
        <v>26</v>
      </c>
      <c r="D32" t="s">
        <v>24</v>
      </c>
      <c r="E32" t="s">
        <v>28</v>
      </c>
      <c r="F32">
        <v>9</v>
      </c>
      <c r="G32">
        <v>13050</v>
      </c>
      <c r="H32">
        <v>2179.35</v>
      </c>
      <c r="K32" t="str">
        <f t="shared" si="0"/>
        <v>5%</v>
      </c>
      <c r="L32" t="str">
        <f t="shared" si="1"/>
        <v>Good</v>
      </c>
      <c r="M32" t="b">
        <f>TRUE()</f>
        <v>1</v>
      </c>
      <c r="N32" t="b">
        <f>FALSE()</f>
        <v>0</v>
      </c>
      <c r="O32" s="18" t="b">
        <f t="shared" si="2"/>
        <v>0</v>
      </c>
    </row>
    <row r="33" spans="1:15" x14ac:dyDescent="0.35">
      <c r="A33">
        <v>40941</v>
      </c>
      <c r="B33">
        <v>1143</v>
      </c>
      <c r="C33" t="s">
        <v>27</v>
      </c>
      <c r="D33" t="s">
        <v>24</v>
      </c>
      <c r="E33" t="s">
        <v>29</v>
      </c>
      <c r="F33">
        <v>8</v>
      </c>
      <c r="G33">
        <v>2312</v>
      </c>
      <c r="H33">
        <v>999.93999999999994</v>
      </c>
      <c r="K33" t="str">
        <f t="shared" si="0"/>
        <v>1.5%</v>
      </c>
      <c r="L33" t="str">
        <f t="shared" si="1"/>
        <v>Need Improvement</v>
      </c>
      <c r="M33" t="b">
        <f>TRUE()</f>
        <v>1</v>
      </c>
      <c r="N33" t="b">
        <f>FALSE()</f>
        <v>0</v>
      </c>
      <c r="O33" s="18" t="b">
        <f t="shared" si="2"/>
        <v>0</v>
      </c>
    </row>
    <row r="34" spans="1:15" x14ac:dyDescent="0.35">
      <c r="A34">
        <v>40942</v>
      </c>
      <c r="B34">
        <v>1144</v>
      </c>
      <c r="C34" t="s">
        <v>23</v>
      </c>
      <c r="D34" t="s">
        <v>24</v>
      </c>
      <c r="E34" t="s">
        <v>29</v>
      </c>
      <c r="F34">
        <v>6</v>
      </c>
      <c r="G34">
        <v>3060</v>
      </c>
      <c r="H34">
        <v>461.60100000000006</v>
      </c>
      <c r="K34" t="str">
        <f t="shared" si="0"/>
        <v>1.5%</v>
      </c>
      <c r="L34" t="str">
        <f t="shared" si="1"/>
        <v>Need Improvement</v>
      </c>
      <c r="M34" t="b">
        <f>TRUE()</f>
        <v>1</v>
      </c>
      <c r="N34" t="b">
        <f>FALSE()</f>
        <v>0</v>
      </c>
      <c r="O34" s="18" t="b">
        <f t="shared" si="2"/>
        <v>0</v>
      </c>
    </row>
    <row r="35" spans="1:15" x14ac:dyDescent="0.35">
      <c r="A35">
        <v>40943</v>
      </c>
      <c r="B35">
        <v>1145</v>
      </c>
      <c r="C35" t="s">
        <v>26</v>
      </c>
      <c r="D35" t="s">
        <v>24</v>
      </c>
      <c r="E35" t="s">
        <v>29</v>
      </c>
      <c r="F35">
        <v>8</v>
      </c>
      <c r="G35">
        <v>9810</v>
      </c>
      <c r="H35">
        <v>744.77520000000004</v>
      </c>
      <c r="K35" t="str">
        <f t="shared" si="0"/>
        <v>2.5%</v>
      </c>
      <c r="L35" t="str">
        <f t="shared" si="1"/>
        <v>Need Improvement</v>
      </c>
      <c r="M35" t="b">
        <f>TRUE()</f>
        <v>1</v>
      </c>
      <c r="N35" t="b">
        <f>FALSE()</f>
        <v>0</v>
      </c>
      <c r="O35" s="18" t="b">
        <f t="shared" si="2"/>
        <v>0</v>
      </c>
    </row>
    <row r="36" spans="1:15" x14ac:dyDescent="0.35">
      <c r="A36">
        <v>40944</v>
      </c>
      <c r="B36">
        <v>1146</v>
      </c>
      <c r="C36" t="s">
        <v>27</v>
      </c>
      <c r="D36" t="s">
        <v>24</v>
      </c>
      <c r="E36" t="s">
        <v>25</v>
      </c>
      <c r="F36">
        <v>10</v>
      </c>
      <c r="G36">
        <v>8120</v>
      </c>
      <c r="H36">
        <v>2571.8069999999998</v>
      </c>
      <c r="K36" t="str">
        <f t="shared" si="0"/>
        <v>2.5%</v>
      </c>
      <c r="L36" t="str">
        <f t="shared" si="1"/>
        <v>Need Improvement</v>
      </c>
      <c r="M36" t="b">
        <f>TRUE()</f>
        <v>1</v>
      </c>
      <c r="N36" t="b">
        <f>FALSE()</f>
        <v>0</v>
      </c>
      <c r="O36" s="18" t="b">
        <f t="shared" si="2"/>
        <v>0</v>
      </c>
    </row>
    <row r="37" spans="1:15" x14ac:dyDescent="0.35">
      <c r="A37">
        <v>40945</v>
      </c>
      <c r="B37">
        <v>1147</v>
      </c>
      <c r="C37" t="s">
        <v>23</v>
      </c>
      <c r="D37" t="s">
        <v>24</v>
      </c>
      <c r="E37" t="s">
        <v>25</v>
      </c>
      <c r="F37">
        <v>7</v>
      </c>
      <c r="G37">
        <v>6520.5</v>
      </c>
      <c r="H37">
        <v>1443.6387</v>
      </c>
      <c r="K37" t="str">
        <f t="shared" si="0"/>
        <v>2.5%</v>
      </c>
      <c r="L37" t="str">
        <f t="shared" si="1"/>
        <v>Need Improvement</v>
      </c>
      <c r="M37" t="b">
        <f>TRUE()</f>
        <v>1</v>
      </c>
      <c r="N37" t="b">
        <f>FALSE()</f>
        <v>0</v>
      </c>
      <c r="O37" s="18" t="b">
        <f t="shared" si="2"/>
        <v>0</v>
      </c>
    </row>
    <row r="38" spans="1:15" x14ac:dyDescent="0.35">
      <c r="A38">
        <v>40946</v>
      </c>
      <c r="B38">
        <v>1148</v>
      </c>
      <c r="C38" t="s">
        <v>26</v>
      </c>
      <c r="D38" t="s">
        <v>24</v>
      </c>
      <c r="E38" t="s">
        <v>25</v>
      </c>
      <c r="F38">
        <v>6</v>
      </c>
      <c r="G38">
        <v>12060</v>
      </c>
      <c r="H38">
        <v>4258.6271999999999</v>
      </c>
      <c r="K38" t="str">
        <f t="shared" si="0"/>
        <v>5%</v>
      </c>
      <c r="L38" t="str">
        <f t="shared" si="1"/>
        <v>Good</v>
      </c>
      <c r="M38" t="b">
        <f>TRUE()</f>
        <v>1</v>
      </c>
      <c r="N38" t="b">
        <f>FALSE()</f>
        <v>0</v>
      </c>
      <c r="O38" s="18" t="b">
        <f t="shared" si="2"/>
        <v>0</v>
      </c>
    </row>
    <row r="39" spans="1:15" x14ac:dyDescent="0.35">
      <c r="A39">
        <v>40947</v>
      </c>
      <c r="B39">
        <v>1149</v>
      </c>
      <c r="C39" t="s">
        <v>27</v>
      </c>
      <c r="D39" t="s">
        <v>24</v>
      </c>
      <c r="E39" t="s">
        <v>28</v>
      </c>
      <c r="F39">
        <v>8</v>
      </c>
      <c r="G39">
        <v>8544</v>
      </c>
      <c r="H39">
        <v>3347.1120000000001</v>
      </c>
      <c r="K39" t="str">
        <f t="shared" si="0"/>
        <v>2.5%</v>
      </c>
      <c r="L39" t="str">
        <f t="shared" si="1"/>
        <v>Need Improvement</v>
      </c>
      <c r="M39" t="b">
        <f>TRUE()</f>
        <v>1</v>
      </c>
      <c r="N39" t="b">
        <f>FALSE()</f>
        <v>0</v>
      </c>
      <c r="O39" s="18" t="b">
        <f t="shared" si="2"/>
        <v>0</v>
      </c>
    </row>
    <row r="40" spans="1:15" x14ac:dyDescent="0.35">
      <c r="A40">
        <v>40948</v>
      </c>
      <c r="B40">
        <v>1150</v>
      </c>
      <c r="C40" t="s">
        <v>23</v>
      </c>
      <c r="D40" t="s">
        <v>24</v>
      </c>
      <c r="E40" t="s">
        <v>28</v>
      </c>
      <c r="F40">
        <v>7</v>
      </c>
      <c r="G40">
        <v>7024.5</v>
      </c>
      <c r="H40">
        <v>2027.739</v>
      </c>
      <c r="K40" t="str">
        <f t="shared" si="0"/>
        <v>2.5%</v>
      </c>
      <c r="L40" t="str">
        <f t="shared" si="1"/>
        <v>Need Improvement</v>
      </c>
      <c r="M40" t="b">
        <f>TRUE()</f>
        <v>1</v>
      </c>
      <c r="N40" t="b">
        <f>FALSE()</f>
        <v>0</v>
      </c>
      <c r="O40" s="18" t="b">
        <f t="shared" si="2"/>
        <v>0</v>
      </c>
    </row>
    <row r="41" spans="1:15" x14ac:dyDescent="0.35">
      <c r="A41">
        <v>40949</v>
      </c>
      <c r="B41">
        <v>1151</v>
      </c>
      <c r="C41" t="s">
        <v>26</v>
      </c>
      <c r="D41" t="s">
        <v>24</v>
      </c>
      <c r="E41" t="s">
        <v>28</v>
      </c>
      <c r="F41">
        <v>7</v>
      </c>
      <c r="G41">
        <v>14017.5</v>
      </c>
      <c r="H41">
        <v>3352.4253000000003</v>
      </c>
      <c r="K41" t="str">
        <f t="shared" si="0"/>
        <v>5%</v>
      </c>
      <c r="L41" t="str">
        <f t="shared" si="1"/>
        <v>Good</v>
      </c>
      <c r="M41" t="b">
        <f>TRUE()</f>
        <v>1</v>
      </c>
      <c r="N41" t="b">
        <f>FALSE()</f>
        <v>0</v>
      </c>
      <c r="O41" s="18" t="b">
        <f t="shared" si="2"/>
        <v>0</v>
      </c>
    </row>
    <row r="42" spans="1:15" x14ac:dyDescent="0.35">
      <c r="A42">
        <v>40950</v>
      </c>
      <c r="B42">
        <v>1152</v>
      </c>
      <c r="C42" t="s">
        <v>27</v>
      </c>
      <c r="D42" t="s">
        <v>24</v>
      </c>
      <c r="E42" t="s">
        <v>29</v>
      </c>
      <c r="F42">
        <v>8</v>
      </c>
      <c r="G42">
        <v>4056</v>
      </c>
      <c r="H42">
        <v>1843.4520000000002</v>
      </c>
      <c r="K42" t="str">
        <f t="shared" si="0"/>
        <v>1.5%</v>
      </c>
      <c r="L42" t="str">
        <f t="shared" si="1"/>
        <v>Need Improvement</v>
      </c>
      <c r="M42" t="b">
        <f>TRUE()</f>
        <v>1</v>
      </c>
      <c r="N42" t="b">
        <f>FALSE()</f>
        <v>0</v>
      </c>
      <c r="O42" s="18" t="b">
        <f t="shared" si="2"/>
        <v>0</v>
      </c>
    </row>
    <row r="43" spans="1:15" x14ac:dyDescent="0.35">
      <c r="A43">
        <v>40951</v>
      </c>
      <c r="B43">
        <v>1153</v>
      </c>
      <c r="C43" t="s">
        <v>23</v>
      </c>
      <c r="D43" t="s">
        <v>24</v>
      </c>
      <c r="E43" t="s">
        <v>29</v>
      </c>
      <c r="F43">
        <v>7</v>
      </c>
      <c r="G43">
        <v>2730</v>
      </c>
      <c r="H43">
        <v>4393.116</v>
      </c>
      <c r="K43" t="str">
        <f t="shared" si="0"/>
        <v>1.5%</v>
      </c>
      <c r="L43" t="str">
        <f t="shared" si="1"/>
        <v>Need Improvement</v>
      </c>
      <c r="M43" t="b">
        <f>TRUE()</f>
        <v>1</v>
      </c>
      <c r="N43" t="b">
        <f>FALSE()</f>
        <v>0</v>
      </c>
      <c r="O43" s="18" t="b">
        <f t="shared" si="2"/>
        <v>0</v>
      </c>
    </row>
    <row r="44" spans="1:15" x14ac:dyDescent="0.35">
      <c r="A44">
        <v>40952</v>
      </c>
      <c r="B44">
        <v>1154</v>
      </c>
      <c r="C44" t="s">
        <v>26</v>
      </c>
      <c r="D44" t="s">
        <v>24</v>
      </c>
      <c r="E44" t="s">
        <v>29</v>
      </c>
      <c r="F44">
        <v>6</v>
      </c>
      <c r="G44">
        <v>6804</v>
      </c>
      <c r="H44">
        <v>3755.808</v>
      </c>
      <c r="K44" t="str">
        <f t="shared" si="0"/>
        <v>2.5%</v>
      </c>
      <c r="L44" t="str">
        <f t="shared" si="1"/>
        <v>Need Improvement</v>
      </c>
      <c r="M44" t="b">
        <f>TRUE()</f>
        <v>1</v>
      </c>
      <c r="N44" t="b">
        <f>FALSE()</f>
        <v>0</v>
      </c>
      <c r="O44" s="18" t="b">
        <f t="shared" si="2"/>
        <v>0</v>
      </c>
    </row>
    <row r="45" spans="1:15" x14ac:dyDescent="0.35">
      <c r="A45">
        <v>40953</v>
      </c>
      <c r="B45">
        <v>1155</v>
      </c>
      <c r="C45" t="s">
        <v>27</v>
      </c>
      <c r="D45" t="s">
        <v>24</v>
      </c>
      <c r="E45" t="s">
        <v>25</v>
      </c>
      <c r="F45">
        <v>7</v>
      </c>
      <c r="G45">
        <v>8778</v>
      </c>
      <c r="H45">
        <v>1690.6428000000001</v>
      </c>
      <c r="K45" t="str">
        <f t="shared" si="0"/>
        <v>2.5%</v>
      </c>
      <c r="L45" t="str">
        <f t="shared" si="1"/>
        <v>Need Improvement</v>
      </c>
      <c r="M45" t="b">
        <f>TRUE()</f>
        <v>1</v>
      </c>
      <c r="N45" t="b">
        <f>FALSE()</f>
        <v>0</v>
      </c>
      <c r="O45" s="18" t="b">
        <f t="shared" si="2"/>
        <v>0</v>
      </c>
    </row>
    <row r="46" spans="1:15" x14ac:dyDescent="0.35">
      <c r="A46">
        <v>40954</v>
      </c>
      <c r="B46">
        <v>1156</v>
      </c>
      <c r="C46" t="s">
        <v>23</v>
      </c>
      <c r="D46" t="s">
        <v>24</v>
      </c>
      <c r="E46" t="s">
        <v>25</v>
      </c>
      <c r="F46">
        <v>8</v>
      </c>
      <c r="G46">
        <v>2304</v>
      </c>
      <c r="H46">
        <v>1475.9423999999999</v>
      </c>
      <c r="K46" t="str">
        <f t="shared" si="0"/>
        <v>1.5%</v>
      </c>
      <c r="L46" t="str">
        <f t="shared" si="1"/>
        <v>Need Improvement</v>
      </c>
      <c r="M46" t="b">
        <f>TRUE()</f>
        <v>1</v>
      </c>
      <c r="N46" t="b">
        <f>FALSE()</f>
        <v>0</v>
      </c>
      <c r="O46" s="18" t="b">
        <f t="shared" si="2"/>
        <v>0</v>
      </c>
    </row>
    <row r="47" spans="1:15" x14ac:dyDescent="0.35">
      <c r="A47">
        <v>40955</v>
      </c>
      <c r="B47">
        <v>1157</v>
      </c>
      <c r="C47" t="s">
        <v>26</v>
      </c>
      <c r="D47" t="s">
        <v>24</v>
      </c>
      <c r="E47" t="s">
        <v>25</v>
      </c>
      <c r="F47">
        <v>10</v>
      </c>
      <c r="G47">
        <v>9150</v>
      </c>
      <c r="H47">
        <v>1103.124</v>
      </c>
      <c r="K47" t="str">
        <f t="shared" si="0"/>
        <v>2.5%</v>
      </c>
      <c r="L47" t="str">
        <f t="shared" si="1"/>
        <v>Need Improvement</v>
      </c>
      <c r="M47" t="b">
        <f>TRUE()</f>
        <v>1</v>
      </c>
      <c r="N47" t="b">
        <f>FALSE()</f>
        <v>0</v>
      </c>
      <c r="O47" s="18" t="b">
        <f t="shared" si="2"/>
        <v>0</v>
      </c>
    </row>
    <row r="48" spans="1:15" x14ac:dyDescent="0.35">
      <c r="A48">
        <v>40956</v>
      </c>
      <c r="B48">
        <v>1158</v>
      </c>
      <c r="C48" t="s">
        <v>27</v>
      </c>
      <c r="D48" t="s">
        <v>24</v>
      </c>
      <c r="E48" t="s">
        <v>28</v>
      </c>
      <c r="F48">
        <v>8</v>
      </c>
      <c r="G48">
        <v>7584</v>
      </c>
      <c r="H48">
        <v>1378.7711999999999</v>
      </c>
      <c r="K48" t="str">
        <f t="shared" si="0"/>
        <v>2.5%</v>
      </c>
      <c r="L48" t="str">
        <f t="shared" si="1"/>
        <v>Need Improvement</v>
      </c>
      <c r="M48" t="b">
        <f>TRUE()</f>
        <v>1</v>
      </c>
      <c r="N48" t="b">
        <f>FALSE()</f>
        <v>0</v>
      </c>
      <c r="O48" s="18" t="b">
        <f t="shared" si="2"/>
        <v>0</v>
      </c>
    </row>
    <row r="49" spans="1:15" x14ac:dyDescent="0.35">
      <c r="A49">
        <v>40957</v>
      </c>
      <c r="B49">
        <v>1159</v>
      </c>
      <c r="C49" t="s">
        <v>23</v>
      </c>
      <c r="D49" t="s">
        <v>24</v>
      </c>
      <c r="E49" t="s">
        <v>28</v>
      </c>
      <c r="F49">
        <v>10</v>
      </c>
      <c r="G49">
        <v>14900</v>
      </c>
      <c r="H49">
        <v>985.48599999999999</v>
      </c>
      <c r="K49" t="str">
        <f t="shared" si="0"/>
        <v>5%</v>
      </c>
      <c r="L49" t="str">
        <f t="shared" si="1"/>
        <v>Good</v>
      </c>
      <c r="M49" t="b">
        <f>TRUE()</f>
        <v>1</v>
      </c>
      <c r="N49" t="b">
        <f>FALSE()</f>
        <v>0</v>
      </c>
      <c r="O49" s="18" t="b">
        <f t="shared" si="2"/>
        <v>0</v>
      </c>
    </row>
    <row r="50" spans="1:15" x14ac:dyDescent="0.35">
      <c r="A50">
        <v>40958</v>
      </c>
      <c r="B50">
        <v>1160</v>
      </c>
      <c r="C50" t="s">
        <v>26</v>
      </c>
      <c r="D50" t="s">
        <v>24</v>
      </c>
      <c r="E50" t="s">
        <v>28</v>
      </c>
      <c r="F50">
        <v>6</v>
      </c>
      <c r="G50">
        <v>8964</v>
      </c>
      <c r="H50">
        <v>877.3515000000001</v>
      </c>
      <c r="K50" t="str">
        <f t="shared" si="0"/>
        <v>2.5%</v>
      </c>
      <c r="L50" t="str">
        <f t="shared" si="1"/>
        <v>Need Improvement</v>
      </c>
      <c r="M50" t="b">
        <f>TRUE()</f>
        <v>1</v>
      </c>
      <c r="N50" t="b">
        <f>FALSE()</f>
        <v>0</v>
      </c>
      <c r="O50" s="18" t="b">
        <f t="shared" si="2"/>
        <v>0</v>
      </c>
    </row>
    <row r="51" spans="1:15" x14ac:dyDescent="0.35">
      <c r="A51">
        <v>40959</v>
      </c>
      <c r="B51">
        <v>1161</v>
      </c>
      <c r="C51" t="s">
        <v>27</v>
      </c>
      <c r="D51" t="s">
        <v>24</v>
      </c>
      <c r="E51" t="s">
        <v>29</v>
      </c>
      <c r="F51">
        <v>9</v>
      </c>
      <c r="G51">
        <v>2079</v>
      </c>
      <c r="H51">
        <v>2799.1656000000003</v>
      </c>
      <c r="K51" t="str">
        <f t="shared" si="0"/>
        <v>1.5%</v>
      </c>
      <c r="L51" t="str">
        <f t="shared" si="1"/>
        <v>Need Improvement</v>
      </c>
      <c r="M51" t="b">
        <f>TRUE()</f>
        <v>1</v>
      </c>
      <c r="N51" t="b">
        <f>FALSE()</f>
        <v>0</v>
      </c>
      <c r="O51" s="18" t="b">
        <f t="shared" si="2"/>
        <v>0</v>
      </c>
    </row>
    <row r="52" spans="1:15" x14ac:dyDescent="0.35">
      <c r="A52">
        <v>40960</v>
      </c>
      <c r="B52">
        <v>1162</v>
      </c>
      <c r="C52" t="s">
        <v>23</v>
      </c>
      <c r="D52" t="s">
        <v>24</v>
      </c>
      <c r="E52" t="s">
        <v>29</v>
      </c>
      <c r="F52">
        <v>6</v>
      </c>
      <c r="G52">
        <v>2412</v>
      </c>
      <c r="H52">
        <v>2078.1792</v>
      </c>
      <c r="K52" t="str">
        <f t="shared" si="0"/>
        <v>1.5%</v>
      </c>
      <c r="L52" t="str">
        <f t="shared" si="1"/>
        <v>Need Improvement</v>
      </c>
      <c r="M52" t="b">
        <f>TRUE()</f>
        <v>1</v>
      </c>
      <c r="N52" t="b">
        <f>FALSE()</f>
        <v>0</v>
      </c>
      <c r="O52" s="18" t="b">
        <f t="shared" si="2"/>
        <v>0</v>
      </c>
    </row>
    <row r="53" spans="1:15" x14ac:dyDescent="0.35">
      <c r="A53">
        <v>40961</v>
      </c>
      <c r="B53">
        <v>1163</v>
      </c>
      <c r="C53" t="s">
        <v>26</v>
      </c>
      <c r="D53" t="s">
        <v>24</v>
      </c>
      <c r="E53" t="s">
        <v>29</v>
      </c>
      <c r="F53">
        <v>7</v>
      </c>
      <c r="G53">
        <v>4189.5</v>
      </c>
      <c r="H53">
        <v>2660.3325000000004</v>
      </c>
      <c r="K53" t="str">
        <f t="shared" si="0"/>
        <v>1.5%</v>
      </c>
      <c r="L53" t="str">
        <f t="shared" si="1"/>
        <v>Need Improvement</v>
      </c>
      <c r="M53" t="b">
        <f>TRUE()</f>
        <v>1</v>
      </c>
      <c r="N53" t="b">
        <f>FALSE()</f>
        <v>0</v>
      </c>
      <c r="O53" s="18" t="b">
        <f t="shared" si="2"/>
        <v>0</v>
      </c>
    </row>
    <row r="54" spans="1:15" x14ac:dyDescent="0.35">
      <c r="A54">
        <v>40962</v>
      </c>
      <c r="B54">
        <v>1164</v>
      </c>
      <c r="C54" t="s">
        <v>27</v>
      </c>
      <c r="D54" t="s">
        <v>24</v>
      </c>
      <c r="E54" t="s">
        <v>25</v>
      </c>
      <c r="F54">
        <v>8</v>
      </c>
      <c r="G54">
        <v>10080</v>
      </c>
      <c r="H54">
        <v>1541.4335999999998</v>
      </c>
      <c r="K54" t="str">
        <f t="shared" si="0"/>
        <v>5%</v>
      </c>
      <c r="L54" t="str">
        <f t="shared" si="1"/>
        <v>Good</v>
      </c>
      <c r="M54" t="b">
        <f>TRUE()</f>
        <v>1</v>
      </c>
      <c r="N54" t="b">
        <f>FALSE()</f>
        <v>0</v>
      </c>
      <c r="O54" s="18" t="b">
        <f t="shared" si="2"/>
        <v>0</v>
      </c>
    </row>
    <row r="55" spans="1:15" x14ac:dyDescent="0.35">
      <c r="A55">
        <v>40963</v>
      </c>
      <c r="B55">
        <v>1165</v>
      </c>
      <c r="C55" t="s">
        <v>23</v>
      </c>
      <c r="D55" t="s">
        <v>24</v>
      </c>
      <c r="E55" t="s">
        <v>25</v>
      </c>
      <c r="F55">
        <v>9</v>
      </c>
      <c r="G55">
        <v>5076</v>
      </c>
      <c r="H55">
        <v>1053.27</v>
      </c>
      <c r="K55" t="str">
        <f t="shared" si="0"/>
        <v>2.5%</v>
      </c>
      <c r="L55" t="str">
        <f t="shared" si="1"/>
        <v>Need Improvement</v>
      </c>
      <c r="M55" t="b">
        <f>TRUE()</f>
        <v>1</v>
      </c>
      <c r="N55" t="b">
        <f>FALSE()</f>
        <v>0</v>
      </c>
      <c r="O55" s="18" t="b">
        <f t="shared" si="2"/>
        <v>0</v>
      </c>
    </row>
    <row r="56" spans="1:15" x14ac:dyDescent="0.35">
      <c r="A56">
        <v>40964</v>
      </c>
      <c r="B56">
        <v>1166</v>
      </c>
      <c r="C56" t="s">
        <v>26</v>
      </c>
      <c r="D56" t="s">
        <v>24</v>
      </c>
      <c r="E56" t="s">
        <v>25</v>
      </c>
      <c r="F56">
        <v>6</v>
      </c>
      <c r="G56">
        <v>9315</v>
      </c>
      <c r="H56">
        <v>4057.6140000000005</v>
      </c>
      <c r="K56" t="str">
        <f t="shared" si="0"/>
        <v>2.5%</v>
      </c>
      <c r="L56" t="str">
        <f t="shared" si="1"/>
        <v>Need Improvement</v>
      </c>
      <c r="M56" t="b">
        <f>TRUE()</f>
        <v>1</v>
      </c>
      <c r="N56" t="b">
        <f>FALSE()</f>
        <v>0</v>
      </c>
      <c r="O56" s="18" t="b">
        <f t="shared" si="2"/>
        <v>0</v>
      </c>
    </row>
    <row r="57" spans="1:15" x14ac:dyDescent="0.35">
      <c r="A57">
        <v>40965</v>
      </c>
      <c r="B57">
        <v>1167</v>
      </c>
      <c r="C57" t="s">
        <v>27</v>
      </c>
      <c r="D57" t="s">
        <v>24</v>
      </c>
      <c r="E57" t="s">
        <v>28</v>
      </c>
      <c r="F57">
        <v>10</v>
      </c>
      <c r="G57">
        <v>11280</v>
      </c>
      <c r="H57">
        <v>4693.8899999999994</v>
      </c>
      <c r="K57" t="str">
        <f t="shared" si="0"/>
        <v>5%</v>
      </c>
      <c r="L57" t="str">
        <f t="shared" si="1"/>
        <v>Good</v>
      </c>
      <c r="M57" t="b">
        <f>TRUE()</f>
        <v>1</v>
      </c>
      <c r="N57" t="b">
        <f>FALSE()</f>
        <v>0</v>
      </c>
      <c r="O57" s="18" t="b">
        <f t="shared" si="2"/>
        <v>0</v>
      </c>
    </row>
    <row r="58" spans="1:15" x14ac:dyDescent="0.35">
      <c r="A58">
        <v>40966</v>
      </c>
      <c r="B58">
        <v>1168</v>
      </c>
      <c r="C58" t="s">
        <v>23</v>
      </c>
      <c r="D58" t="s">
        <v>24</v>
      </c>
      <c r="E58" t="s">
        <v>28</v>
      </c>
      <c r="F58">
        <v>7</v>
      </c>
      <c r="G58">
        <v>8946</v>
      </c>
      <c r="H58">
        <v>909.80820000000006</v>
      </c>
      <c r="K58" t="str">
        <f t="shared" si="0"/>
        <v>2.5%</v>
      </c>
      <c r="L58" t="str">
        <f t="shared" si="1"/>
        <v>Need Improvement</v>
      </c>
      <c r="M58" t="b">
        <f>TRUE()</f>
        <v>1</v>
      </c>
      <c r="N58" t="b">
        <f>FALSE()</f>
        <v>0</v>
      </c>
      <c r="O58" s="18" t="b">
        <f t="shared" si="2"/>
        <v>0</v>
      </c>
    </row>
    <row r="59" spans="1:15" x14ac:dyDescent="0.35">
      <c r="A59">
        <v>40967</v>
      </c>
      <c r="B59">
        <v>1169</v>
      </c>
      <c r="C59" t="s">
        <v>26</v>
      </c>
      <c r="D59" t="s">
        <v>24</v>
      </c>
      <c r="E59" t="s">
        <v>28</v>
      </c>
      <c r="F59">
        <v>8</v>
      </c>
      <c r="G59">
        <v>8568</v>
      </c>
      <c r="H59">
        <v>3129.0336000000007</v>
      </c>
      <c r="K59" t="str">
        <f t="shared" si="0"/>
        <v>2.5%</v>
      </c>
      <c r="L59" t="str">
        <f t="shared" si="1"/>
        <v>Need Improvement</v>
      </c>
      <c r="M59" t="b">
        <f>TRUE()</f>
        <v>1</v>
      </c>
      <c r="N59" t="b">
        <f>FALSE()</f>
        <v>0</v>
      </c>
      <c r="O59" s="18" t="b">
        <f t="shared" si="2"/>
        <v>0</v>
      </c>
    </row>
    <row r="60" spans="1:15" x14ac:dyDescent="0.35">
      <c r="A60">
        <v>40969</v>
      </c>
      <c r="B60">
        <v>1170</v>
      </c>
      <c r="C60" t="s">
        <v>27</v>
      </c>
      <c r="D60" t="s">
        <v>24</v>
      </c>
      <c r="E60" t="s">
        <v>29</v>
      </c>
      <c r="F60">
        <v>8</v>
      </c>
      <c r="G60">
        <v>2178</v>
      </c>
      <c r="H60">
        <v>2062.7837999999997</v>
      </c>
      <c r="K60" t="str">
        <f t="shared" si="0"/>
        <v>1.5%</v>
      </c>
      <c r="L60" t="str">
        <f t="shared" si="1"/>
        <v>Need Improvement</v>
      </c>
      <c r="M60" t="b">
        <f>TRUE()</f>
        <v>1</v>
      </c>
      <c r="N60" t="b">
        <f>FALSE()</f>
        <v>0</v>
      </c>
      <c r="O60" s="18" t="b">
        <f t="shared" si="2"/>
        <v>0</v>
      </c>
    </row>
    <row r="61" spans="1:15" x14ac:dyDescent="0.35">
      <c r="A61">
        <v>40970</v>
      </c>
      <c r="B61">
        <v>1171</v>
      </c>
      <c r="C61" t="s">
        <v>23</v>
      </c>
      <c r="D61" t="s">
        <v>24</v>
      </c>
      <c r="E61" t="s">
        <v>29</v>
      </c>
      <c r="F61">
        <v>9</v>
      </c>
      <c r="G61">
        <v>8100</v>
      </c>
      <c r="H61">
        <v>2295.864</v>
      </c>
      <c r="K61" t="str">
        <f t="shared" si="0"/>
        <v>2.5%</v>
      </c>
      <c r="L61" t="str">
        <f t="shared" si="1"/>
        <v>Need Improvement</v>
      </c>
      <c r="M61" t="b">
        <f>TRUE()</f>
        <v>1</v>
      </c>
      <c r="N61" t="b">
        <f>FALSE()</f>
        <v>0</v>
      </c>
      <c r="O61" s="18" t="b">
        <f t="shared" si="2"/>
        <v>0</v>
      </c>
    </row>
    <row r="62" spans="1:15" x14ac:dyDescent="0.35">
      <c r="A62">
        <v>40971</v>
      </c>
      <c r="B62">
        <v>1172</v>
      </c>
      <c r="C62" t="s">
        <v>26</v>
      </c>
      <c r="D62" t="s">
        <v>24</v>
      </c>
      <c r="E62" t="s">
        <v>29</v>
      </c>
      <c r="F62">
        <v>9</v>
      </c>
      <c r="G62">
        <v>2106</v>
      </c>
      <c r="H62">
        <v>4223.5829999999996</v>
      </c>
      <c r="K62" t="str">
        <f t="shared" si="0"/>
        <v>1.5%</v>
      </c>
      <c r="L62" t="str">
        <f t="shared" si="1"/>
        <v>Need Improvement</v>
      </c>
      <c r="M62" t="b">
        <f>TRUE()</f>
        <v>1</v>
      </c>
      <c r="N62" t="b">
        <f>FALSE()</f>
        <v>0</v>
      </c>
      <c r="O62" s="18" t="b">
        <f t="shared" si="2"/>
        <v>0</v>
      </c>
    </row>
    <row r="63" spans="1:15" x14ac:dyDescent="0.35">
      <c r="A63">
        <v>40972</v>
      </c>
      <c r="B63">
        <v>1173</v>
      </c>
      <c r="C63" t="s">
        <v>27</v>
      </c>
      <c r="D63" t="s">
        <v>24</v>
      </c>
      <c r="E63" t="s">
        <v>25</v>
      </c>
      <c r="F63">
        <v>10</v>
      </c>
      <c r="G63">
        <v>8480</v>
      </c>
      <c r="H63">
        <v>1349.1679999999999</v>
      </c>
      <c r="K63" t="str">
        <f t="shared" si="0"/>
        <v>2.5%</v>
      </c>
      <c r="L63" t="str">
        <f t="shared" si="1"/>
        <v>Need Improvement</v>
      </c>
      <c r="M63" t="b">
        <f>TRUE()</f>
        <v>1</v>
      </c>
      <c r="N63" t="b">
        <f>FALSE()</f>
        <v>0</v>
      </c>
      <c r="O63" s="18" t="b">
        <f t="shared" si="2"/>
        <v>0</v>
      </c>
    </row>
    <row r="64" spans="1:15" x14ac:dyDescent="0.35">
      <c r="A64">
        <v>40973</v>
      </c>
      <c r="B64">
        <v>1174</v>
      </c>
      <c r="C64" t="s">
        <v>23</v>
      </c>
      <c r="D64" t="s">
        <v>24</v>
      </c>
      <c r="E64" t="s">
        <v>25</v>
      </c>
      <c r="F64">
        <v>6</v>
      </c>
      <c r="G64">
        <v>5220</v>
      </c>
      <c r="H64">
        <v>1052.8739999999998</v>
      </c>
      <c r="K64" t="str">
        <f t="shared" si="0"/>
        <v>2.5%</v>
      </c>
      <c r="L64" t="str">
        <f t="shared" si="1"/>
        <v>Need Improvement</v>
      </c>
      <c r="M64" t="b">
        <f>TRUE()</f>
        <v>1</v>
      </c>
      <c r="N64" t="b">
        <f>FALSE()</f>
        <v>0</v>
      </c>
      <c r="O64" s="18" t="b">
        <f t="shared" si="2"/>
        <v>0</v>
      </c>
    </row>
    <row r="65" spans="1:15" x14ac:dyDescent="0.35">
      <c r="A65">
        <v>41339</v>
      </c>
      <c r="B65">
        <v>1175</v>
      </c>
      <c r="C65" t="s">
        <v>26</v>
      </c>
      <c r="D65" t="s">
        <v>24</v>
      </c>
      <c r="E65" t="s">
        <v>25</v>
      </c>
      <c r="F65">
        <v>6</v>
      </c>
      <c r="G65">
        <v>4410</v>
      </c>
      <c r="H65">
        <v>1489.2570000000001</v>
      </c>
      <c r="K65" t="str">
        <f t="shared" si="0"/>
        <v>1.5%</v>
      </c>
      <c r="L65" t="str">
        <f t="shared" si="1"/>
        <v>Need Improvement</v>
      </c>
      <c r="M65" t="b">
        <f>TRUE()</f>
        <v>1</v>
      </c>
      <c r="N65" t="b">
        <f>FALSE()</f>
        <v>0</v>
      </c>
      <c r="O65" s="18" t="b">
        <f t="shared" si="2"/>
        <v>0</v>
      </c>
    </row>
    <row r="66" spans="1:15" x14ac:dyDescent="0.35">
      <c r="A66">
        <v>41340</v>
      </c>
      <c r="B66">
        <v>1176</v>
      </c>
      <c r="C66" t="s">
        <v>27</v>
      </c>
      <c r="D66" t="s">
        <v>24</v>
      </c>
      <c r="E66" t="s">
        <v>28</v>
      </c>
      <c r="F66">
        <v>9</v>
      </c>
      <c r="G66">
        <v>2524.5</v>
      </c>
      <c r="H66">
        <v>2069.5850999999998</v>
      </c>
      <c r="K66" t="str">
        <f t="shared" si="0"/>
        <v>1.5%</v>
      </c>
      <c r="L66" t="str">
        <f t="shared" si="1"/>
        <v>Need Improvement</v>
      </c>
      <c r="M66" t="b">
        <f>TRUE()</f>
        <v>1</v>
      </c>
      <c r="N66" t="b">
        <f>FALSE()</f>
        <v>0</v>
      </c>
      <c r="O66" s="18" t="b">
        <f t="shared" si="2"/>
        <v>0</v>
      </c>
    </row>
    <row r="67" spans="1:15" x14ac:dyDescent="0.35">
      <c r="A67">
        <v>41341</v>
      </c>
      <c r="B67">
        <v>1177</v>
      </c>
      <c r="C67" t="s">
        <v>23</v>
      </c>
      <c r="D67" t="s">
        <v>24</v>
      </c>
      <c r="E67" t="s">
        <v>28</v>
      </c>
      <c r="F67">
        <v>9</v>
      </c>
      <c r="G67">
        <v>8505</v>
      </c>
      <c r="H67">
        <v>4672.08</v>
      </c>
      <c r="K67" t="str">
        <f t="shared" ref="K67:K130" si="3">IF(G67&gt;10000,"5%",IF(AND(G67&gt;=5000,G67&lt;10000),"2.5%","1.5%"))</f>
        <v>2.5%</v>
      </c>
      <c r="L67" t="str">
        <f t="shared" ref="L67:L130" si="4">IF(OR(G67&gt;10000,H67&gt;=5000),"Good","Need Improvement")</f>
        <v>Need Improvement</v>
      </c>
      <c r="M67" t="b">
        <f>TRUE()</f>
        <v>1</v>
      </c>
      <c r="N67" t="b">
        <f>FALSE()</f>
        <v>0</v>
      </c>
      <c r="O67" s="18" t="b">
        <f t="shared" ref="O67:O130" si="5">NOT(M67)</f>
        <v>0</v>
      </c>
    </row>
    <row r="68" spans="1:15" x14ac:dyDescent="0.35">
      <c r="A68">
        <v>41342</v>
      </c>
      <c r="B68">
        <v>1178</v>
      </c>
      <c r="C68" t="s">
        <v>26</v>
      </c>
      <c r="D68" t="s">
        <v>24</v>
      </c>
      <c r="E68" t="s">
        <v>28</v>
      </c>
      <c r="F68">
        <v>8</v>
      </c>
      <c r="G68">
        <v>10224</v>
      </c>
      <c r="H68">
        <v>941.88599999999997</v>
      </c>
      <c r="K68" t="str">
        <f t="shared" si="3"/>
        <v>5%</v>
      </c>
      <c r="L68" t="str">
        <f t="shared" si="4"/>
        <v>Good</v>
      </c>
      <c r="M68" t="b">
        <f>TRUE()</f>
        <v>1</v>
      </c>
      <c r="N68" t="b">
        <f>FALSE()</f>
        <v>0</v>
      </c>
      <c r="O68" s="18" t="b">
        <f t="shared" si="5"/>
        <v>0</v>
      </c>
    </row>
    <row r="69" spans="1:15" x14ac:dyDescent="0.35">
      <c r="A69">
        <v>41343</v>
      </c>
      <c r="B69">
        <v>1179</v>
      </c>
      <c r="C69" t="s">
        <v>27</v>
      </c>
      <c r="D69" t="s">
        <v>24</v>
      </c>
      <c r="E69" t="s">
        <v>29</v>
      </c>
      <c r="F69">
        <v>6</v>
      </c>
      <c r="G69">
        <v>12330</v>
      </c>
      <c r="H69">
        <v>1667.5092</v>
      </c>
      <c r="K69" t="str">
        <f t="shared" si="3"/>
        <v>5%</v>
      </c>
      <c r="L69" t="str">
        <f t="shared" si="4"/>
        <v>Good</v>
      </c>
      <c r="M69" t="b">
        <f>TRUE()</f>
        <v>1</v>
      </c>
      <c r="N69" t="b">
        <f>FALSE()</f>
        <v>0</v>
      </c>
      <c r="O69" s="18" t="b">
        <f t="shared" si="5"/>
        <v>0</v>
      </c>
    </row>
    <row r="70" spans="1:15" x14ac:dyDescent="0.35">
      <c r="A70">
        <v>41344</v>
      </c>
      <c r="B70">
        <v>1180</v>
      </c>
      <c r="C70" t="s">
        <v>23</v>
      </c>
      <c r="D70" t="s">
        <v>24</v>
      </c>
      <c r="E70" t="s">
        <v>29</v>
      </c>
      <c r="F70">
        <v>9</v>
      </c>
      <c r="G70">
        <v>4914</v>
      </c>
      <c r="H70">
        <v>4085.4996000000001</v>
      </c>
      <c r="K70" t="str">
        <f t="shared" si="3"/>
        <v>1.5%</v>
      </c>
      <c r="L70" t="str">
        <f t="shared" si="4"/>
        <v>Need Improvement</v>
      </c>
      <c r="M70" t="b">
        <f>TRUE()</f>
        <v>1</v>
      </c>
      <c r="N70" t="b">
        <f>FALSE()</f>
        <v>0</v>
      </c>
      <c r="O70" s="18" t="b">
        <f t="shared" si="5"/>
        <v>0</v>
      </c>
    </row>
    <row r="71" spans="1:15" x14ac:dyDescent="0.35">
      <c r="A71">
        <v>41345</v>
      </c>
      <c r="B71">
        <v>1181</v>
      </c>
      <c r="C71" t="s">
        <v>26</v>
      </c>
      <c r="D71" t="s">
        <v>24</v>
      </c>
      <c r="E71" t="s">
        <v>29</v>
      </c>
      <c r="F71">
        <v>7</v>
      </c>
      <c r="G71">
        <v>8032.5</v>
      </c>
      <c r="H71">
        <v>3396.1410000000001</v>
      </c>
      <c r="K71" t="str">
        <f t="shared" si="3"/>
        <v>2.5%</v>
      </c>
      <c r="L71" t="str">
        <f t="shared" si="4"/>
        <v>Need Improvement</v>
      </c>
      <c r="M71" t="b">
        <f>TRUE()</f>
        <v>1</v>
      </c>
      <c r="N71" t="b">
        <f>FALSE()</f>
        <v>0</v>
      </c>
      <c r="O71" s="18" t="b">
        <f t="shared" si="5"/>
        <v>0</v>
      </c>
    </row>
    <row r="72" spans="1:15" x14ac:dyDescent="0.35">
      <c r="A72">
        <v>41346</v>
      </c>
      <c r="B72">
        <v>1182</v>
      </c>
      <c r="C72" t="s">
        <v>27</v>
      </c>
      <c r="D72" t="s">
        <v>24</v>
      </c>
      <c r="E72" t="s">
        <v>25</v>
      </c>
      <c r="F72">
        <v>7</v>
      </c>
      <c r="G72">
        <v>8757</v>
      </c>
      <c r="H72">
        <v>1824.0831000000003</v>
      </c>
      <c r="K72" t="str">
        <f t="shared" si="3"/>
        <v>2.5%</v>
      </c>
      <c r="L72" t="str">
        <f t="shared" si="4"/>
        <v>Need Improvement</v>
      </c>
      <c r="M72" t="b">
        <f>TRUE()</f>
        <v>1</v>
      </c>
      <c r="N72" t="b">
        <f>FALSE()</f>
        <v>0</v>
      </c>
      <c r="O72" s="18" t="b">
        <f t="shared" si="5"/>
        <v>0</v>
      </c>
    </row>
    <row r="73" spans="1:15" x14ac:dyDescent="0.35">
      <c r="A73">
        <v>41347</v>
      </c>
      <c r="B73">
        <v>1183</v>
      </c>
      <c r="C73" t="s">
        <v>23</v>
      </c>
      <c r="D73" t="s">
        <v>24</v>
      </c>
      <c r="E73" t="s">
        <v>25</v>
      </c>
      <c r="F73">
        <v>6</v>
      </c>
      <c r="G73">
        <v>12330</v>
      </c>
      <c r="H73">
        <v>909.70740000000001</v>
      </c>
      <c r="K73" t="str">
        <f t="shared" si="3"/>
        <v>5%</v>
      </c>
      <c r="L73" t="str">
        <f t="shared" si="4"/>
        <v>Good</v>
      </c>
      <c r="M73" t="b">
        <f>TRUE()</f>
        <v>1</v>
      </c>
      <c r="N73" t="b">
        <f>FALSE()</f>
        <v>0</v>
      </c>
      <c r="O73" s="18" t="b">
        <f t="shared" si="5"/>
        <v>0</v>
      </c>
    </row>
    <row r="74" spans="1:15" x14ac:dyDescent="0.35">
      <c r="A74">
        <v>41348</v>
      </c>
      <c r="B74">
        <v>1184</v>
      </c>
      <c r="C74" t="s">
        <v>26</v>
      </c>
      <c r="D74" t="s">
        <v>24</v>
      </c>
      <c r="E74" t="s">
        <v>25</v>
      </c>
      <c r="F74">
        <v>10</v>
      </c>
      <c r="G74">
        <v>8440</v>
      </c>
      <c r="H74">
        <v>4225.2750000000005</v>
      </c>
      <c r="K74" t="str">
        <f t="shared" si="3"/>
        <v>2.5%</v>
      </c>
      <c r="L74" t="str">
        <f t="shared" si="4"/>
        <v>Need Improvement</v>
      </c>
      <c r="M74" t="b">
        <f>TRUE()</f>
        <v>1</v>
      </c>
      <c r="N74" t="b">
        <f>FALSE()</f>
        <v>0</v>
      </c>
      <c r="O74" s="18" t="b">
        <f t="shared" si="5"/>
        <v>0</v>
      </c>
    </row>
    <row r="75" spans="1:15" x14ac:dyDescent="0.35">
      <c r="A75">
        <v>41349</v>
      </c>
      <c r="B75">
        <v>1185</v>
      </c>
      <c r="C75" t="s">
        <v>27</v>
      </c>
      <c r="D75" t="s">
        <v>24</v>
      </c>
      <c r="E75" t="s">
        <v>28</v>
      </c>
      <c r="F75">
        <v>9</v>
      </c>
      <c r="G75">
        <v>7074</v>
      </c>
      <c r="H75">
        <v>2610.306</v>
      </c>
      <c r="K75" t="str">
        <f t="shared" si="3"/>
        <v>2.5%</v>
      </c>
      <c r="L75" t="str">
        <f t="shared" si="4"/>
        <v>Need Improvement</v>
      </c>
      <c r="M75" t="b">
        <f>TRUE()</f>
        <v>1</v>
      </c>
      <c r="N75" t="b">
        <f>FALSE()</f>
        <v>0</v>
      </c>
      <c r="O75" s="18" t="b">
        <f t="shared" si="5"/>
        <v>0</v>
      </c>
    </row>
    <row r="76" spans="1:15" x14ac:dyDescent="0.35">
      <c r="A76">
        <v>41350</v>
      </c>
      <c r="B76">
        <v>1186</v>
      </c>
      <c r="C76" t="s">
        <v>23</v>
      </c>
      <c r="D76" t="s">
        <v>24</v>
      </c>
      <c r="E76" t="s">
        <v>28</v>
      </c>
      <c r="F76">
        <v>10</v>
      </c>
      <c r="G76">
        <v>8040</v>
      </c>
      <c r="H76">
        <v>1930.806</v>
      </c>
      <c r="K76" t="str">
        <f t="shared" si="3"/>
        <v>2.5%</v>
      </c>
      <c r="L76" t="str">
        <f t="shared" si="4"/>
        <v>Need Improvement</v>
      </c>
      <c r="M76" t="b">
        <f>TRUE()</f>
        <v>1</v>
      </c>
      <c r="N76" t="b">
        <f>FALSE()</f>
        <v>0</v>
      </c>
      <c r="O76" s="18" t="b">
        <f t="shared" si="5"/>
        <v>0</v>
      </c>
    </row>
    <row r="77" spans="1:15" x14ac:dyDescent="0.35">
      <c r="A77">
        <v>41351</v>
      </c>
      <c r="B77">
        <v>1187</v>
      </c>
      <c r="C77" t="s">
        <v>26</v>
      </c>
      <c r="D77" t="s">
        <v>24</v>
      </c>
      <c r="E77" t="s">
        <v>28</v>
      </c>
      <c r="F77">
        <v>8</v>
      </c>
      <c r="G77">
        <v>11070</v>
      </c>
      <c r="H77">
        <v>3935.3850000000002</v>
      </c>
      <c r="K77" t="str">
        <f t="shared" si="3"/>
        <v>5%</v>
      </c>
      <c r="L77" t="str">
        <f t="shared" si="4"/>
        <v>Good</v>
      </c>
      <c r="M77" t="b">
        <f>TRUE()</f>
        <v>1</v>
      </c>
      <c r="N77" t="b">
        <f>FALSE()</f>
        <v>0</v>
      </c>
      <c r="O77" s="18" t="b">
        <f t="shared" si="5"/>
        <v>0</v>
      </c>
    </row>
    <row r="78" spans="1:15" x14ac:dyDescent="0.35">
      <c r="A78">
        <v>41352</v>
      </c>
      <c r="B78">
        <v>1188</v>
      </c>
      <c r="C78" t="s">
        <v>27</v>
      </c>
      <c r="D78" t="s">
        <v>24</v>
      </c>
      <c r="E78" t="s">
        <v>29</v>
      </c>
      <c r="F78">
        <v>9</v>
      </c>
      <c r="G78">
        <v>5913</v>
      </c>
      <c r="H78">
        <v>3893.1192000000001</v>
      </c>
      <c r="K78" t="str">
        <f t="shared" si="3"/>
        <v>2.5%</v>
      </c>
      <c r="L78" t="str">
        <f t="shared" si="4"/>
        <v>Need Improvement</v>
      </c>
      <c r="M78" t="b">
        <f>TRUE()</f>
        <v>1</v>
      </c>
      <c r="N78" t="b">
        <f>FALSE()</f>
        <v>0</v>
      </c>
      <c r="O78" s="18" t="b">
        <f t="shared" si="5"/>
        <v>0</v>
      </c>
    </row>
    <row r="79" spans="1:15" x14ac:dyDescent="0.35">
      <c r="A79">
        <v>41353</v>
      </c>
      <c r="B79">
        <v>1189</v>
      </c>
      <c r="C79" t="s">
        <v>23</v>
      </c>
      <c r="D79" t="s">
        <v>24</v>
      </c>
      <c r="E79" t="s">
        <v>29</v>
      </c>
      <c r="F79">
        <v>6</v>
      </c>
      <c r="G79">
        <v>10440</v>
      </c>
      <c r="H79">
        <v>2468.6424000000006</v>
      </c>
      <c r="K79" t="str">
        <f t="shared" si="3"/>
        <v>5%</v>
      </c>
      <c r="L79" t="str">
        <f t="shared" si="4"/>
        <v>Good</v>
      </c>
      <c r="M79" t="b">
        <f>TRUE()</f>
        <v>1</v>
      </c>
      <c r="N79" t="b">
        <f>FALSE()</f>
        <v>0</v>
      </c>
      <c r="O79" s="18" t="b">
        <f t="shared" si="5"/>
        <v>0</v>
      </c>
    </row>
    <row r="80" spans="1:15" x14ac:dyDescent="0.35">
      <c r="A80">
        <v>41354</v>
      </c>
      <c r="B80">
        <v>1190</v>
      </c>
      <c r="C80" t="s">
        <v>26</v>
      </c>
      <c r="D80" t="s">
        <v>24</v>
      </c>
      <c r="E80" t="s">
        <v>29</v>
      </c>
      <c r="F80">
        <v>7</v>
      </c>
      <c r="G80">
        <v>1648.5</v>
      </c>
      <c r="H80">
        <v>2758.2701999999999</v>
      </c>
      <c r="K80" t="str">
        <f t="shared" si="3"/>
        <v>1.5%</v>
      </c>
      <c r="L80" t="str">
        <f t="shared" si="4"/>
        <v>Need Improvement</v>
      </c>
      <c r="M80" t="b">
        <f>TRUE()</f>
        <v>1</v>
      </c>
      <c r="N80" t="b">
        <f>FALSE()</f>
        <v>0</v>
      </c>
      <c r="O80" s="18" t="b">
        <f t="shared" si="5"/>
        <v>0</v>
      </c>
    </row>
    <row r="81" spans="1:15" x14ac:dyDescent="0.35">
      <c r="A81">
        <v>41355</v>
      </c>
      <c r="B81">
        <v>1191</v>
      </c>
      <c r="C81" t="s">
        <v>27</v>
      </c>
      <c r="D81" t="s">
        <v>24</v>
      </c>
      <c r="E81" t="s">
        <v>25</v>
      </c>
      <c r="F81">
        <v>9</v>
      </c>
      <c r="G81">
        <v>13770</v>
      </c>
      <c r="H81">
        <v>1198.8162000000002</v>
      </c>
      <c r="K81" t="str">
        <f t="shared" si="3"/>
        <v>5%</v>
      </c>
      <c r="L81" t="str">
        <f t="shared" si="4"/>
        <v>Good</v>
      </c>
      <c r="M81" t="b">
        <f>TRUE()</f>
        <v>1</v>
      </c>
      <c r="N81" t="b">
        <f>FALSE()</f>
        <v>0</v>
      </c>
      <c r="O81" s="18" t="b">
        <f t="shared" si="5"/>
        <v>0</v>
      </c>
    </row>
    <row r="82" spans="1:15" x14ac:dyDescent="0.35">
      <c r="A82">
        <v>41356</v>
      </c>
      <c r="B82">
        <v>1192</v>
      </c>
      <c r="C82" t="s">
        <v>23</v>
      </c>
      <c r="D82" t="s">
        <v>24</v>
      </c>
      <c r="E82" t="s">
        <v>25</v>
      </c>
      <c r="F82">
        <v>6</v>
      </c>
      <c r="G82">
        <v>1647</v>
      </c>
      <c r="H82">
        <v>702.44549999999992</v>
      </c>
      <c r="K82" t="str">
        <f t="shared" si="3"/>
        <v>1.5%</v>
      </c>
      <c r="L82" t="str">
        <f t="shared" si="4"/>
        <v>Need Improvement</v>
      </c>
      <c r="M82" t="b">
        <f>TRUE()</f>
        <v>1</v>
      </c>
      <c r="N82" t="b">
        <f>FALSE()</f>
        <v>0</v>
      </c>
      <c r="O82" s="18" t="b">
        <f t="shared" si="5"/>
        <v>0</v>
      </c>
    </row>
    <row r="83" spans="1:15" x14ac:dyDescent="0.35">
      <c r="A83">
        <v>41357</v>
      </c>
      <c r="B83">
        <v>1193</v>
      </c>
      <c r="C83" t="s">
        <v>26</v>
      </c>
      <c r="D83" t="s">
        <v>24</v>
      </c>
      <c r="E83" t="s">
        <v>25</v>
      </c>
      <c r="F83">
        <v>9</v>
      </c>
      <c r="G83">
        <v>7911</v>
      </c>
      <c r="H83">
        <v>4921.9605000000001</v>
      </c>
      <c r="K83" t="str">
        <f t="shared" si="3"/>
        <v>2.5%</v>
      </c>
      <c r="L83" t="str">
        <f t="shared" si="4"/>
        <v>Need Improvement</v>
      </c>
      <c r="M83" t="b">
        <f>TRUE()</f>
        <v>1</v>
      </c>
      <c r="N83" t="b">
        <f>FALSE()</f>
        <v>0</v>
      </c>
      <c r="O83" s="18" t="b">
        <f t="shared" si="5"/>
        <v>0</v>
      </c>
    </row>
    <row r="84" spans="1:15" x14ac:dyDescent="0.35">
      <c r="A84">
        <v>41358</v>
      </c>
      <c r="B84">
        <v>1194</v>
      </c>
      <c r="C84" t="s">
        <v>27</v>
      </c>
      <c r="D84" t="s">
        <v>24</v>
      </c>
      <c r="E84" t="s">
        <v>28</v>
      </c>
      <c r="F84">
        <v>6</v>
      </c>
      <c r="G84">
        <v>6804</v>
      </c>
      <c r="H84">
        <v>2912.7923999999998</v>
      </c>
      <c r="K84" t="str">
        <f t="shared" si="3"/>
        <v>2.5%</v>
      </c>
      <c r="L84" t="str">
        <f t="shared" si="4"/>
        <v>Need Improvement</v>
      </c>
      <c r="M84" t="b">
        <f>TRUE()</f>
        <v>1</v>
      </c>
      <c r="N84" t="b">
        <f>FALSE()</f>
        <v>0</v>
      </c>
      <c r="O84" s="18" t="b">
        <f t="shared" si="5"/>
        <v>0</v>
      </c>
    </row>
    <row r="85" spans="1:15" x14ac:dyDescent="0.35">
      <c r="A85">
        <v>41359</v>
      </c>
      <c r="B85">
        <v>1195</v>
      </c>
      <c r="C85" t="s">
        <v>23</v>
      </c>
      <c r="D85" t="s">
        <v>24</v>
      </c>
      <c r="E85" t="s">
        <v>28</v>
      </c>
      <c r="F85">
        <v>9</v>
      </c>
      <c r="G85">
        <v>7965</v>
      </c>
      <c r="H85">
        <v>703.78740000000005</v>
      </c>
      <c r="K85" t="str">
        <f t="shared" si="3"/>
        <v>2.5%</v>
      </c>
      <c r="L85" t="str">
        <f t="shared" si="4"/>
        <v>Need Improvement</v>
      </c>
      <c r="M85" t="b">
        <f>TRUE()</f>
        <v>1</v>
      </c>
      <c r="N85" t="b">
        <f>FALSE()</f>
        <v>0</v>
      </c>
      <c r="O85" s="18" t="b">
        <f t="shared" si="5"/>
        <v>0</v>
      </c>
    </row>
    <row r="86" spans="1:15" x14ac:dyDescent="0.35">
      <c r="A86">
        <v>41360</v>
      </c>
      <c r="B86">
        <v>1196</v>
      </c>
      <c r="C86" t="s">
        <v>26</v>
      </c>
      <c r="D86" t="s">
        <v>24</v>
      </c>
      <c r="E86" t="s">
        <v>28</v>
      </c>
      <c r="F86">
        <v>10</v>
      </c>
      <c r="G86">
        <v>3960</v>
      </c>
      <c r="H86">
        <v>1772.8919999999998</v>
      </c>
      <c r="K86" t="str">
        <f t="shared" si="3"/>
        <v>1.5%</v>
      </c>
      <c r="L86" t="str">
        <f t="shared" si="4"/>
        <v>Need Improvement</v>
      </c>
      <c r="M86" t="b">
        <f>TRUE()</f>
        <v>1</v>
      </c>
      <c r="N86" t="b">
        <f>FALSE()</f>
        <v>0</v>
      </c>
      <c r="O86" s="18" t="b">
        <f t="shared" si="5"/>
        <v>0</v>
      </c>
    </row>
    <row r="87" spans="1:15" x14ac:dyDescent="0.35">
      <c r="A87">
        <v>41361</v>
      </c>
      <c r="B87">
        <v>1197</v>
      </c>
      <c r="C87" t="s">
        <v>27</v>
      </c>
      <c r="D87" t="s">
        <v>24</v>
      </c>
      <c r="E87" t="s">
        <v>29</v>
      </c>
      <c r="F87">
        <v>10</v>
      </c>
      <c r="G87">
        <v>5130</v>
      </c>
      <c r="H87">
        <v>2639.3849999999998</v>
      </c>
      <c r="K87" t="str">
        <f t="shared" si="3"/>
        <v>2.5%</v>
      </c>
      <c r="L87" t="str">
        <f t="shared" si="4"/>
        <v>Need Improvement</v>
      </c>
      <c r="M87" t="b">
        <f>TRUE()</f>
        <v>1</v>
      </c>
      <c r="N87" t="b">
        <f>FALSE()</f>
        <v>0</v>
      </c>
      <c r="O87" s="18" t="b">
        <f t="shared" si="5"/>
        <v>0</v>
      </c>
    </row>
    <row r="88" spans="1:15" x14ac:dyDescent="0.35">
      <c r="A88">
        <v>41362</v>
      </c>
      <c r="B88">
        <v>1198</v>
      </c>
      <c r="C88" t="s">
        <v>23</v>
      </c>
      <c r="D88" t="s">
        <v>24</v>
      </c>
      <c r="E88" t="s">
        <v>29</v>
      </c>
      <c r="F88">
        <v>9</v>
      </c>
      <c r="G88">
        <v>2205</v>
      </c>
      <c r="H88">
        <v>3743.2080000000001</v>
      </c>
      <c r="K88" t="str">
        <f t="shared" si="3"/>
        <v>1.5%</v>
      </c>
      <c r="L88" t="str">
        <f t="shared" si="4"/>
        <v>Need Improvement</v>
      </c>
      <c r="M88" t="b">
        <f>TRUE()</f>
        <v>1</v>
      </c>
      <c r="N88" t="b">
        <f>FALSE()</f>
        <v>0</v>
      </c>
      <c r="O88" s="18" t="b">
        <f t="shared" si="5"/>
        <v>0</v>
      </c>
    </row>
    <row r="89" spans="1:15" x14ac:dyDescent="0.35">
      <c r="A89">
        <v>41363</v>
      </c>
      <c r="B89">
        <v>1199</v>
      </c>
      <c r="C89" t="s">
        <v>26</v>
      </c>
      <c r="D89" t="s">
        <v>24</v>
      </c>
      <c r="E89" t="s">
        <v>29</v>
      </c>
      <c r="F89">
        <v>9</v>
      </c>
      <c r="G89">
        <v>7749</v>
      </c>
      <c r="H89">
        <v>4713.9749999999995</v>
      </c>
      <c r="K89" t="str">
        <f t="shared" si="3"/>
        <v>2.5%</v>
      </c>
      <c r="L89" t="str">
        <f t="shared" si="4"/>
        <v>Need Improvement</v>
      </c>
      <c r="M89" t="b">
        <f>TRUE()</f>
        <v>1</v>
      </c>
      <c r="N89" t="b">
        <f>FALSE()</f>
        <v>0</v>
      </c>
      <c r="O89" s="18" t="b">
        <f t="shared" si="5"/>
        <v>0</v>
      </c>
    </row>
    <row r="90" spans="1:15" x14ac:dyDescent="0.35">
      <c r="A90">
        <v>41364</v>
      </c>
      <c r="B90">
        <v>1200</v>
      </c>
      <c r="C90" t="s">
        <v>27</v>
      </c>
      <c r="D90" t="s">
        <v>24</v>
      </c>
      <c r="E90" t="s">
        <v>25</v>
      </c>
      <c r="F90">
        <v>7</v>
      </c>
      <c r="G90">
        <v>13702.5</v>
      </c>
      <c r="H90">
        <v>4461.5339999999997</v>
      </c>
      <c r="K90" t="str">
        <f t="shared" si="3"/>
        <v>5%</v>
      </c>
      <c r="L90" t="str">
        <f t="shared" si="4"/>
        <v>Good</v>
      </c>
      <c r="M90" t="b">
        <f>TRUE()</f>
        <v>1</v>
      </c>
      <c r="N90" t="b">
        <f>FALSE()</f>
        <v>0</v>
      </c>
      <c r="O90" s="18" t="b">
        <f t="shared" si="5"/>
        <v>0</v>
      </c>
    </row>
    <row r="91" spans="1:15" x14ac:dyDescent="0.35">
      <c r="A91">
        <v>41365</v>
      </c>
      <c r="B91">
        <v>1201</v>
      </c>
      <c r="C91" t="s">
        <v>23</v>
      </c>
      <c r="D91" t="s">
        <v>24</v>
      </c>
      <c r="E91" t="s">
        <v>25</v>
      </c>
      <c r="F91">
        <v>6</v>
      </c>
      <c r="G91">
        <v>2232</v>
      </c>
      <c r="H91">
        <v>2587.3343999999997</v>
      </c>
      <c r="K91" t="str">
        <f t="shared" si="3"/>
        <v>1.5%</v>
      </c>
      <c r="L91" t="str">
        <f t="shared" si="4"/>
        <v>Need Improvement</v>
      </c>
      <c r="M91" t="b">
        <f>TRUE()</f>
        <v>1</v>
      </c>
      <c r="N91" t="b">
        <f>FALSE()</f>
        <v>0</v>
      </c>
      <c r="O91" s="18" t="b">
        <f t="shared" si="5"/>
        <v>0</v>
      </c>
    </row>
    <row r="92" spans="1:15" x14ac:dyDescent="0.35">
      <c r="A92">
        <v>41366</v>
      </c>
      <c r="B92">
        <v>1202</v>
      </c>
      <c r="C92" t="s">
        <v>26</v>
      </c>
      <c r="D92" t="s">
        <v>24</v>
      </c>
      <c r="E92" t="s">
        <v>25</v>
      </c>
      <c r="F92">
        <v>6</v>
      </c>
      <c r="G92">
        <v>7560</v>
      </c>
      <c r="H92">
        <v>724.81500000000005</v>
      </c>
      <c r="K92" t="str">
        <f t="shared" si="3"/>
        <v>2.5%</v>
      </c>
      <c r="L92" t="str">
        <f t="shared" si="4"/>
        <v>Need Improvement</v>
      </c>
      <c r="M92" t="b">
        <f>TRUE()</f>
        <v>1</v>
      </c>
      <c r="N92" t="b">
        <f>FALSE()</f>
        <v>0</v>
      </c>
      <c r="O92" s="18" t="b">
        <f t="shared" si="5"/>
        <v>0</v>
      </c>
    </row>
    <row r="93" spans="1:15" x14ac:dyDescent="0.35">
      <c r="A93">
        <v>41367</v>
      </c>
      <c r="B93">
        <v>1203</v>
      </c>
      <c r="C93" t="s">
        <v>27</v>
      </c>
      <c r="D93" t="s">
        <v>24</v>
      </c>
      <c r="E93" t="s">
        <v>28</v>
      </c>
      <c r="F93">
        <v>7</v>
      </c>
      <c r="G93">
        <v>2094.75</v>
      </c>
      <c r="H93">
        <v>792.23444999999992</v>
      </c>
      <c r="K93" t="str">
        <f t="shared" si="3"/>
        <v>1.5%</v>
      </c>
      <c r="L93" t="str">
        <f t="shared" si="4"/>
        <v>Need Improvement</v>
      </c>
      <c r="M93" t="b">
        <f>TRUE()</f>
        <v>1</v>
      </c>
      <c r="N93" t="b">
        <f>FALSE()</f>
        <v>0</v>
      </c>
      <c r="O93" s="18" t="b">
        <f t="shared" si="5"/>
        <v>0</v>
      </c>
    </row>
    <row r="94" spans="1:15" x14ac:dyDescent="0.35">
      <c r="A94">
        <v>41368</v>
      </c>
      <c r="B94">
        <v>1204</v>
      </c>
      <c r="C94" t="s">
        <v>23</v>
      </c>
      <c r="D94" t="s">
        <v>24</v>
      </c>
      <c r="E94" t="s">
        <v>28</v>
      </c>
      <c r="F94">
        <v>7</v>
      </c>
      <c r="G94">
        <v>1669.5</v>
      </c>
      <c r="H94">
        <v>1459.143</v>
      </c>
      <c r="K94" t="str">
        <f t="shared" si="3"/>
        <v>1.5%</v>
      </c>
      <c r="L94" t="str">
        <f t="shared" si="4"/>
        <v>Need Improvement</v>
      </c>
      <c r="M94" t="b">
        <f>TRUE()</f>
        <v>1</v>
      </c>
      <c r="N94" t="b">
        <f>FALSE()</f>
        <v>0</v>
      </c>
      <c r="O94" s="18" t="b">
        <f t="shared" si="5"/>
        <v>0</v>
      </c>
    </row>
    <row r="95" spans="1:15" x14ac:dyDescent="0.35">
      <c r="A95">
        <v>41369</v>
      </c>
      <c r="B95">
        <v>1205</v>
      </c>
      <c r="C95" t="s">
        <v>26</v>
      </c>
      <c r="D95" t="s">
        <v>24</v>
      </c>
      <c r="E95" t="s">
        <v>28</v>
      </c>
      <c r="F95">
        <v>10</v>
      </c>
      <c r="G95">
        <v>3330</v>
      </c>
      <c r="H95">
        <v>1439.8920000000001</v>
      </c>
      <c r="K95" t="str">
        <f t="shared" si="3"/>
        <v>1.5%</v>
      </c>
      <c r="L95" t="str">
        <f t="shared" si="4"/>
        <v>Need Improvement</v>
      </c>
      <c r="M95" t="b">
        <f>TRUE()</f>
        <v>1</v>
      </c>
      <c r="N95" t="b">
        <f>FALSE()</f>
        <v>0</v>
      </c>
      <c r="O95" s="18" t="b">
        <f t="shared" si="5"/>
        <v>0</v>
      </c>
    </row>
    <row r="96" spans="1:15" x14ac:dyDescent="0.35">
      <c r="A96">
        <v>41370</v>
      </c>
      <c r="B96">
        <v>1206</v>
      </c>
      <c r="C96" t="s">
        <v>27</v>
      </c>
      <c r="D96" t="s">
        <v>24</v>
      </c>
      <c r="E96" t="s">
        <v>29</v>
      </c>
      <c r="F96">
        <v>9</v>
      </c>
      <c r="G96">
        <v>2970</v>
      </c>
      <c r="H96">
        <v>1062.3689999999999</v>
      </c>
      <c r="K96" t="str">
        <f t="shared" si="3"/>
        <v>1.5%</v>
      </c>
      <c r="L96" t="str">
        <f t="shared" si="4"/>
        <v>Need Improvement</v>
      </c>
      <c r="M96" t="b">
        <f>TRUE()</f>
        <v>1</v>
      </c>
      <c r="N96" t="b">
        <f>FALSE()</f>
        <v>0</v>
      </c>
      <c r="O96" s="18" t="b">
        <f t="shared" si="5"/>
        <v>0</v>
      </c>
    </row>
    <row r="97" spans="1:15" x14ac:dyDescent="0.35">
      <c r="A97">
        <v>41371</v>
      </c>
      <c r="B97">
        <v>1207</v>
      </c>
      <c r="C97" t="s">
        <v>23</v>
      </c>
      <c r="D97" t="s">
        <v>24</v>
      </c>
      <c r="E97" t="s">
        <v>29</v>
      </c>
      <c r="F97">
        <v>10</v>
      </c>
      <c r="G97">
        <v>2180</v>
      </c>
      <c r="H97">
        <v>978.82</v>
      </c>
      <c r="K97" t="str">
        <f t="shared" si="3"/>
        <v>1.5%</v>
      </c>
      <c r="L97" t="str">
        <f t="shared" si="4"/>
        <v>Need Improvement</v>
      </c>
      <c r="M97" t="b">
        <f>TRUE()</f>
        <v>1</v>
      </c>
      <c r="N97" t="b">
        <f>FALSE()</f>
        <v>0</v>
      </c>
      <c r="O97" s="18" t="b">
        <f t="shared" si="5"/>
        <v>0</v>
      </c>
    </row>
    <row r="98" spans="1:15" x14ac:dyDescent="0.35">
      <c r="A98">
        <v>41372</v>
      </c>
      <c r="B98">
        <v>1208</v>
      </c>
      <c r="C98" t="s">
        <v>26</v>
      </c>
      <c r="D98" t="s">
        <v>24</v>
      </c>
      <c r="E98" t="s">
        <v>29</v>
      </c>
      <c r="F98">
        <v>9</v>
      </c>
      <c r="G98">
        <v>7290</v>
      </c>
      <c r="H98">
        <v>2436.3180000000002</v>
      </c>
      <c r="K98" t="str">
        <f t="shared" si="3"/>
        <v>2.5%</v>
      </c>
      <c r="L98" t="str">
        <f t="shared" si="4"/>
        <v>Need Improvement</v>
      </c>
      <c r="M98" t="b">
        <f>TRUE()</f>
        <v>1</v>
      </c>
      <c r="N98" t="b">
        <f>FALSE()</f>
        <v>0</v>
      </c>
      <c r="O98" s="18" t="b">
        <f t="shared" si="5"/>
        <v>0</v>
      </c>
    </row>
    <row r="99" spans="1:15" x14ac:dyDescent="0.35">
      <c r="A99">
        <v>41373</v>
      </c>
      <c r="B99">
        <v>1209</v>
      </c>
      <c r="C99" t="s">
        <v>27</v>
      </c>
      <c r="D99" t="s">
        <v>24</v>
      </c>
      <c r="E99" t="s">
        <v>25</v>
      </c>
      <c r="F99">
        <v>8</v>
      </c>
      <c r="G99">
        <v>13740</v>
      </c>
      <c r="H99">
        <v>2186.8583999999996</v>
      </c>
      <c r="K99" t="str">
        <f t="shared" si="3"/>
        <v>5%</v>
      </c>
      <c r="L99" t="str">
        <f t="shared" si="4"/>
        <v>Good</v>
      </c>
      <c r="M99" t="b">
        <f>TRUE()</f>
        <v>1</v>
      </c>
      <c r="N99" t="b">
        <f>FALSE()</f>
        <v>0</v>
      </c>
      <c r="O99" s="18" t="b">
        <f t="shared" si="5"/>
        <v>0</v>
      </c>
    </row>
    <row r="100" spans="1:15" x14ac:dyDescent="0.35">
      <c r="A100">
        <v>41374</v>
      </c>
      <c r="B100">
        <v>1210</v>
      </c>
      <c r="C100" t="s">
        <v>23</v>
      </c>
      <c r="D100" t="s">
        <v>24</v>
      </c>
      <c r="E100" t="s">
        <v>25</v>
      </c>
      <c r="F100">
        <v>6</v>
      </c>
      <c r="G100">
        <v>8820</v>
      </c>
      <c r="H100">
        <v>2685.5136000000002</v>
      </c>
      <c r="K100" t="str">
        <f t="shared" si="3"/>
        <v>2.5%</v>
      </c>
      <c r="L100" t="str">
        <f t="shared" si="4"/>
        <v>Need Improvement</v>
      </c>
      <c r="M100" t="b">
        <f>TRUE()</f>
        <v>1</v>
      </c>
      <c r="N100" t="b">
        <f>FALSE()</f>
        <v>0</v>
      </c>
      <c r="O100" s="18" t="b">
        <f t="shared" si="5"/>
        <v>0</v>
      </c>
    </row>
    <row r="101" spans="1:15" x14ac:dyDescent="0.35">
      <c r="A101">
        <v>41375</v>
      </c>
      <c r="B101">
        <v>1211</v>
      </c>
      <c r="C101" t="s">
        <v>26</v>
      </c>
      <c r="D101" t="s">
        <v>24</v>
      </c>
      <c r="E101" t="s">
        <v>25</v>
      </c>
      <c r="F101">
        <v>6</v>
      </c>
      <c r="G101">
        <v>3132</v>
      </c>
      <c r="H101">
        <v>472.46220000000005</v>
      </c>
      <c r="K101" t="str">
        <f t="shared" si="3"/>
        <v>1.5%</v>
      </c>
      <c r="L101" t="str">
        <f t="shared" si="4"/>
        <v>Need Improvement</v>
      </c>
      <c r="M101" t="b">
        <f>TRUE()</f>
        <v>1</v>
      </c>
      <c r="N101" t="b">
        <f>FALSE()</f>
        <v>0</v>
      </c>
      <c r="O101" s="18" t="b">
        <f t="shared" si="5"/>
        <v>0</v>
      </c>
    </row>
    <row r="102" spans="1:15" x14ac:dyDescent="0.35">
      <c r="A102">
        <v>41376</v>
      </c>
      <c r="B102">
        <v>1212</v>
      </c>
      <c r="C102" t="s">
        <v>27</v>
      </c>
      <c r="D102" t="s">
        <v>24</v>
      </c>
      <c r="E102" t="s">
        <v>28</v>
      </c>
      <c r="F102">
        <v>9</v>
      </c>
      <c r="G102">
        <v>2207.25</v>
      </c>
      <c r="H102">
        <v>3782.122875</v>
      </c>
      <c r="K102" t="str">
        <f t="shared" si="3"/>
        <v>1.5%</v>
      </c>
      <c r="L102" t="str">
        <f t="shared" si="4"/>
        <v>Need Improvement</v>
      </c>
      <c r="M102" t="b">
        <f>TRUE()</f>
        <v>1</v>
      </c>
      <c r="N102" t="b">
        <f>FALSE()</f>
        <v>0</v>
      </c>
      <c r="O102" s="18" t="b">
        <f t="shared" si="5"/>
        <v>0</v>
      </c>
    </row>
    <row r="103" spans="1:15" x14ac:dyDescent="0.35">
      <c r="A103">
        <v>41377</v>
      </c>
      <c r="B103">
        <v>1213</v>
      </c>
      <c r="C103" t="s">
        <v>23</v>
      </c>
      <c r="D103" t="s">
        <v>24</v>
      </c>
      <c r="E103" t="s">
        <v>28</v>
      </c>
      <c r="F103">
        <v>10</v>
      </c>
      <c r="G103">
        <v>6075</v>
      </c>
      <c r="H103">
        <v>623.70000000000005</v>
      </c>
      <c r="K103" t="str">
        <f t="shared" si="3"/>
        <v>2.5%</v>
      </c>
      <c r="L103" t="str">
        <f t="shared" si="4"/>
        <v>Need Improvement</v>
      </c>
      <c r="M103" t="b">
        <f>TRUE()</f>
        <v>1</v>
      </c>
      <c r="N103" t="b">
        <f>FALSE()</f>
        <v>0</v>
      </c>
      <c r="O103" s="18" t="b">
        <f t="shared" si="5"/>
        <v>0</v>
      </c>
    </row>
    <row r="104" spans="1:15" x14ac:dyDescent="0.35">
      <c r="A104">
        <v>41378</v>
      </c>
      <c r="B104">
        <v>1214</v>
      </c>
      <c r="C104" t="s">
        <v>26</v>
      </c>
      <c r="D104" t="s">
        <v>24</v>
      </c>
      <c r="E104" t="s">
        <v>28</v>
      </c>
      <c r="F104">
        <v>9</v>
      </c>
      <c r="G104">
        <v>14445</v>
      </c>
      <c r="H104">
        <v>1257.5817000000002</v>
      </c>
      <c r="K104" t="str">
        <f t="shared" si="3"/>
        <v>5%</v>
      </c>
      <c r="L104" t="str">
        <f t="shared" si="4"/>
        <v>Good</v>
      </c>
      <c r="M104" t="b">
        <f>TRUE()</f>
        <v>1</v>
      </c>
      <c r="N104" t="b">
        <f>FALSE()</f>
        <v>0</v>
      </c>
      <c r="O104" s="18" t="b">
        <f t="shared" si="5"/>
        <v>0</v>
      </c>
    </row>
    <row r="105" spans="1:15" x14ac:dyDescent="0.35">
      <c r="A105">
        <v>41379</v>
      </c>
      <c r="B105">
        <v>1215</v>
      </c>
      <c r="C105" t="s">
        <v>27</v>
      </c>
      <c r="D105" t="s">
        <v>24</v>
      </c>
      <c r="E105" t="s">
        <v>29</v>
      </c>
      <c r="F105">
        <v>10</v>
      </c>
      <c r="G105">
        <v>5670</v>
      </c>
      <c r="H105">
        <v>1449.63</v>
      </c>
      <c r="K105" t="str">
        <f t="shared" si="3"/>
        <v>2.5%</v>
      </c>
      <c r="L105" t="str">
        <f t="shared" si="4"/>
        <v>Need Improvement</v>
      </c>
      <c r="M105" t="b">
        <f>TRUE()</f>
        <v>1</v>
      </c>
      <c r="N105" t="b">
        <f>FALSE()</f>
        <v>0</v>
      </c>
      <c r="O105" s="18" t="b">
        <f t="shared" si="5"/>
        <v>0</v>
      </c>
    </row>
    <row r="106" spans="1:15" x14ac:dyDescent="0.35">
      <c r="A106">
        <v>41380</v>
      </c>
      <c r="B106">
        <v>1216</v>
      </c>
      <c r="C106" t="s">
        <v>23</v>
      </c>
      <c r="D106" t="s">
        <v>24</v>
      </c>
      <c r="E106" t="s">
        <v>29</v>
      </c>
      <c r="F106">
        <v>8</v>
      </c>
      <c r="G106">
        <v>1998</v>
      </c>
      <c r="H106">
        <v>666.73260000000005</v>
      </c>
      <c r="K106" t="str">
        <f t="shared" si="3"/>
        <v>1.5%</v>
      </c>
      <c r="L106" t="str">
        <f t="shared" si="4"/>
        <v>Need Improvement</v>
      </c>
      <c r="M106" t="b">
        <f>TRUE()</f>
        <v>1</v>
      </c>
      <c r="N106" t="b">
        <f>FALSE()</f>
        <v>0</v>
      </c>
      <c r="O106" s="18" t="b">
        <f t="shared" si="5"/>
        <v>0</v>
      </c>
    </row>
    <row r="107" spans="1:15" x14ac:dyDescent="0.35">
      <c r="A107">
        <v>41381</v>
      </c>
      <c r="B107">
        <v>1217</v>
      </c>
      <c r="C107" t="s">
        <v>26</v>
      </c>
      <c r="D107" t="s">
        <v>24</v>
      </c>
      <c r="E107" t="s">
        <v>29</v>
      </c>
      <c r="F107">
        <v>10</v>
      </c>
      <c r="G107">
        <v>6540</v>
      </c>
      <c r="H107">
        <v>1144.5</v>
      </c>
      <c r="K107" t="str">
        <f t="shared" si="3"/>
        <v>2.5%</v>
      </c>
      <c r="L107" t="str">
        <f t="shared" si="4"/>
        <v>Need Improvement</v>
      </c>
      <c r="M107" t="b">
        <f>TRUE()</f>
        <v>1</v>
      </c>
      <c r="N107" t="b">
        <f>FALSE()</f>
        <v>0</v>
      </c>
      <c r="O107" s="18" t="b">
        <f t="shared" si="5"/>
        <v>0</v>
      </c>
    </row>
    <row r="108" spans="1:15" x14ac:dyDescent="0.35">
      <c r="A108">
        <v>41382</v>
      </c>
      <c r="B108">
        <v>1218</v>
      </c>
      <c r="C108" t="s">
        <v>27</v>
      </c>
      <c r="D108" t="s">
        <v>24</v>
      </c>
      <c r="E108" t="s">
        <v>25</v>
      </c>
      <c r="F108">
        <v>10</v>
      </c>
      <c r="G108">
        <v>2940</v>
      </c>
      <c r="H108">
        <v>1210.104</v>
      </c>
      <c r="K108" t="str">
        <f t="shared" si="3"/>
        <v>1.5%</v>
      </c>
      <c r="L108" t="str">
        <f t="shared" si="4"/>
        <v>Need Improvement</v>
      </c>
      <c r="M108" t="b">
        <f>TRUE()</f>
        <v>1</v>
      </c>
      <c r="N108" t="b">
        <f>FALSE()</f>
        <v>0</v>
      </c>
      <c r="O108" s="18" t="b">
        <f t="shared" si="5"/>
        <v>0</v>
      </c>
    </row>
    <row r="109" spans="1:15" x14ac:dyDescent="0.35">
      <c r="A109">
        <v>41383</v>
      </c>
      <c r="B109">
        <v>1219</v>
      </c>
      <c r="C109" t="s">
        <v>23</v>
      </c>
      <c r="D109" t="s">
        <v>24</v>
      </c>
      <c r="E109" t="s">
        <v>25</v>
      </c>
      <c r="F109">
        <v>8</v>
      </c>
      <c r="G109">
        <v>10020</v>
      </c>
      <c r="H109">
        <v>1214.0232000000001</v>
      </c>
      <c r="K109" t="str">
        <f t="shared" si="3"/>
        <v>5%</v>
      </c>
      <c r="L109" t="str">
        <f t="shared" si="4"/>
        <v>Good</v>
      </c>
      <c r="M109" t="b">
        <f>TRUE()</f>
        <v>1</v>
      </c>
      <c r="N109" t="b">
        <f>FALSE()</f>
        <v>0</v>
      </c>
      <c r="O109" s="18" t="b">
        <f t="shared" si="5"/>
        <v>0</v>
      </c>
    </row>
    <row r="110" spans="1:15" x14ac:dyDescent="0.35">
      <c r="A110">
        <v>41384</v>
      </c>
      <c r="B110">
        <v>1220</v>
      </c>
      <c r="C110" t="s">
        <v>26</v>
      </c>
      <c r="D110" t="s">
        <v>24</v>
      </c>
      <c r="E110" t="s">
        <v>25</v>
      </c>
      <c r="F110">
        <v>6</v>
      </c>
      <c r="G110">
        <v>2088</v>
      </c>
      <c r="H110">
        <v>1942.4663999999998</v>
      </c>
      <c r="K110" t="str">
        <f t="shared" si="3"/>
        <v>1.5%</v>
      </c>
      <c r="L110" t="str">
        <f t="shared" si="4"/>
        <v>Need Improvement</v>
      </c>
      <c r="M110" t="b">
        <f>TRUE()</f>
        <v>1</v>
      </c>
      <c r="N110" t="b">
        <f>FALSE()</f>
        <v>0</v>
      </c>
      <c r="O110" s="18" t="b">
        <f t="shared" si="5"/>
        <v>0</v>
      </c>
    </row>
    <row r="111" spans="1:15" x14ac:dyDescent="0.35">
      <c r="A111">
        <v>41385</v>
      </c>
      <c r="B111">
        <v>1221</v>
      </c>
      <c r="C111" t="s">
        <v>27</v>
      </c>
      <c r="D111" t="s">
        <v>24</v>
      </c>
      <c r="E111" t="s">
        <v>28</v>
      </c>
      <c r="F111">
        <v>10</v>
      </c>
      <c r="G111">
        <v>3270</v>
      </c>
      <c r="H111">
        <v>992.44499999999994</v>
      </c>
      <c r="K111" t="str">
        <f t="shared" si="3"/>
        <v>1.5%</v>
      </c>
      <c r="L111" t="str">
        <f t="shared" si="4"/>
        <v>Need Improvement</v>
      </c>
      <c r="M111" t="b">
        <f>TRUE()</f>
        <v>1</v>
      </c>
      <c r="N111" t="b">
        <f>FALSE()</f>
        <v>0</v>
      </c>
      <c r="O111" s="18" t="b">
        <f t="shared" si="5"/>
        <v>0</v>
      </c>
    </row>
    <row r="112" spans="1:15" x14ac:dyDescent="0.35">
      <c r="A112">
        <v>41386</v>
      </c>
      <c r="B112">
        <v>1222</v>
      </c>
      <c r="C112" t="s">
        <v>23</v>
      </c>
      <c r="D112" t="s">
        <v>24</v>
      </c>
      <c r="E112" t="s">
        <v>28</v>
      </c>
      <c r="F112">
        <v>6</v>
      </c>
      <c r="G112">
        <v>6075</v>
      </c>
      <c r="H112">
        <v>3073.9500000000003</v>
      </c>
      <c r="K112" t="str">
        <f t="shared" si="3"/>
        <v>2.5%</v>
      </c>
      <c r="L112" t="str">
        <f t="shared" si="4"/>
        <v>Need Improvement</v>
      </c>
      <c r="M112" t="b">
        <f>TRUE()</f>
        <v>1</v>
      </c>
      <c r="N112" t="b">
        <f>FALSE()</f>
        <v>0</v>
      </c>
      <c r="O112" s="18" t="b">
        <f t="shared" si="5"/>
        <v>0</v>
      </c>
    </row>
    <row r="113" spans="1:15" x14ac:dyDescent="0.35">
      <c r="A113">
        <v>41387</v>
      </c>
      <c r="B113">
        <v>1223</v>
      </c>
      <c r="C113" t="s">
        <v>26</v>
      </c>
      <c r="D113" t="s">
        <v>24</v>
      </c>
      <c r="E113" t="s">
        <v>28</v>
      </c>
      <c r="F113">
        <v>8</v>
      </c>
      <c r="G113">
        <v>2352</v>
      </c>
      <c r="H113">
        <v>1022.8848</v>
      </c>
      <c r="K113" t="str">
        <f t="shared" si="3"/>
        <v>1.5%</v>
      </c>
      <c r="L113" t="str">
        <f t="shared" si="4"/>
        <v>Need Improvement</v>
      </c>
      <c r="M113" t="b">
        <f>TRUE()</f>
        <v>1</v>
      </c>
      <c r="N113" t="b">
        <f>FALSE()</f>
        <v>0</v>
      </c>
      <c r="O113" s="18" t="b">
        <f t="shared" si="5"/>
        <v>0</v>
      </c>
    </row>
    <row r="114" spans="1:15" x14ac:dyDescent="0.35">
      <c r="A114">
        <v>41388</v>
      </c>
      <c r="B114">
        <v>1224</v>
      </c>
      <c r="C114" t="s">
        <v>27</v>
      </c>
      <c r="D114" t="s">
        <v>24</v>
      </c>
      <c r="E114" t="s">
        <v>29</v>
      </c>
      <c r="F114">
        <v>7</v>
      </c>
      <c r="G114">
        <v>5775</v>
      </c>
      <c r="H114">
        <v>6108.5062500000004</v>
      </c>
      <c r="K114" t="str">
        <f t="shared" si="3"/>
        <v>2.5%</v>
      </c>
      <c r="L114" t="str">
        <f t="shared" si="4"/>
        <v>Good</v>
      </c>
      <c r="M114" t="b">
        <f>TRUE()</f>
        <v>1</v>
      </c>
      <c r="N114" t="b">
        <f>FALSE()</f>
        <v>0</v>
      </c>
      <c r="O114" s="18" t="b">
        <f t="shared" si="5"/>
        <v>0</v>
      </c>
    </row>
    <row r="115" spans="1:15" x14ac:dyDescent="0.35">
      <c r="A115">
        <v>41389</v>
      </c>
      <c r="B115">
        <v>1225</v>
      </c>
      <c r="C115" t="s">
        <v>23</v>
      </c>
      <c r="D115" t="s">
        <v>24</v>
      </c>
      <c r="E115" t="s">
        <v>29</v>
      </c>
      <c r="F115">
        <v>7</v>
      </c>
      <c r="G115">
        <v>2037</v>
      </c>
      <c r="H115">
        <v>815.81850000000009</v>
      </c>
      <c r="K115" t="str">
        <f t="shared" si="3"/>
        <v>1.5%</v>
      </c>
      <c r="L115" t="str">
        <f t="shared" si="4"/>
        <v>Need Improvement</v>
      </c>
      <c r="M115" t="b">
        <f>TRUE()</f>
        <v>1</v>
      </c>
      <c r="N115" t="b">
        <f>FALSE()</f>
        <v>0</v>
      </c>
      <c r="O115" s="18" t="b">
        <f t="shared" si="5"/>
        <v>0</v>
      </c>
    </row>
    <row r="116" spans="1:15" x14ac:dyDescent="0.35">
      <c r="A116">
        <v>41390</v>
      </c>
      <c r="B116">
        <v>1226</v>
      </c>
      <c r="C116" t="s">
        <v>26</v>
      </c>
      <c r="D116" t="s">
        <v>24</v>
      </c>
      <c r="E116" t="s">
        <v>29</v>
      </c>
      <c r="F116">
        <v>6</v>
      </c>
      <c r="G116">
        <v>3996</v>
      </c>
      <c r="H116">
        <v>1616.7816000000003</v>
      </c>
      <c r="K116" t="str">
        <f t="shared" si="3"/>
        <v>1.5%</v>
      </c>
      <c r="L116" t="str">
        <f t="shared" si="4"/>
        <v>Need Improvement</v>
      </c>
      <c r="M116" t="b">
        <f>TRUE()</f>
        <v>1</v>
      </c>
      <c r="N116" t="b">
        <f>FALSE()</f>
        <v>0</v>
      </c>
      <c r="O116" s="18" t="b">
        <f t="shared" si="5"/>
        <v>0</v>
      </c>
    </row>
    <row r="117" spans="1:15" x14ac:dyDescent="0.35">
      <c r="A117">
        <v>41391</v>
      </c>
      <c r="B117">
        <v>1227</v>
      </c>
      <c r="C117" t="s">
        <v>27</v>
      </c>
      <c r="D117" t="s">
        <v>24</v>
      </c>
      <c r="E117" t="s">
        <v>25</v>
      </c>
      <c r="F117">
        <v>9</v>
      </c>
      <c r="G117">
        <v>13837.5</v>
      </c>
      <c r="H117">
        <v>4455.6750000000002</v>
      </c>
      <c r="K117" t="str">
        <f t="shared" si="3"/>
        <v>5%</v>
      </c>
      <c r="L117" t="str">
        <f t="shared" si="4"/>
        <v>Good</v>
      </c>
      <c r="M117" t="b">
        <f>TRUE()</f>
        <v>1</v>
      </c>
      <c r="N117" t="b">
        <f>FALSE()</f>
        <v>0</v>
      </c>
      <c r="O117" s="18" t="b">
        <f t="shared" si="5"/>
        <v>0</v>
      </c>
    </row>
    <row r="118" spans="1:15" x14ac:dyDescent="0.35">
      <c r="A118">
        <v>41392</v>
      </c>
      <c r="B118">
        <v>1228</v>
      </c>
      <c r="C118" t="s">
        <v>23</v>
      </c>
      <c r="D118" t="s">
        <v>24</v>
      </c>
      <c r="E118" t="s">
        <v>25</v>
      </c>
      <c r="F118">
        <v>7</v>
      </c>
      <c r="G118">
        <v>1848</v>
      </c>
      <c r="H118">
        <v>1815.66</v>
      </c>
      <c r="K118" t="str">
        <f t="shared" si="3"/>
        <v>1.5%</v>
      </c>
      <c r="L118" t="str">
        <f t="shared" si="4"/>
        <v>Need Improvement</v>
      </c>
      <c r="M118" t="b">
        <f>TRUE()</f>
        <v>1</v>
      </c>
      <c r="N118" t="b">
        <f>FALSE()</f>
        <v>0</v>
      </c>
      <c r="O118" s="18" t="b">
        <f t="shared" si="5"/>
        <v>0</v>
      </c>
    </row>
    <row r="119" spans="1:15" x14ac:dyDescent="0.35">
      <c r="A119">
        <v>41393</v>
      </c>
      <c r="B119">
        <v>1229</v>
      </c>
      <c r="C119" t="s">
        <v>26</v>
      </c>
      <c r="D119" t="s">
        <v>24</v>
      </c>
      <c r="E119" t="s">
        <v>25</v>
      </c>
      <c r="F119">
        <v>9</v>
      </c>
      <c r="G119">
        <v>4464</v>
      </c>
      <c r="H119">
        <v>2679.2927999999997</v>
      </c>
      <c r="K119" t="str">
        <f t="shared" si="3"/>
        <v>1.5%</v>
      </c>
      <c r="L119" t="str">
        <f t="shared" si="4"/>
        <v>Need Improvement</v>
      </c>
      <c r="M119" t="b">
        <f>TRUE()</f>
        <v>1</v>
      </c>
      <c r="N119" t="b">
        <f>FALSE()</f>
        <v>0</v>
      </c>
      <c r="O119" s="18" t="b">
        <f t="shared" si="5"/>
        <v>0</v>
      </c>
    </row>
    <row r="120" spans="1:15" x14ac:dyDescent="0.35">
      <c r="A120">
        <v>41394</v>
      </c>
      <c r="B120">
        <v>1230</v>
      </c>
      <c r="C120" t="s">
        <v>27</v>
      </c>
      <c r="D120" t="s">
        <v>24</v>
      </c>
      <c r="E120" t="s">
        <v>28</v>
      </c>
      <c r="F120">
        <v>7</v>
      </c>
      <c r="G120">
        <v>8316</v>
      </c>
      <c r="H120">
        <v>3597.7095000000004</v>
      </c>
      <c r="K120" t="str">
        <f t="shared" si="3"/>
        <v>2.5%</v>
      </c>
      <c r="L120" t="str">
        <f t="shared" si="4"/>
        <v>Need Improvement</v>
      </c>
      <c r="M120" t="b">
        <f>TRUE()</f>
        <v>1</v>
      </c>
      <c r="N120" t="b">
        <f>FALSE()</f>
        <v>0</v>
      </c>
      <c r="O120" s="18" t="b">
        <f t="shared" si="5"/>
        <v>0</v>
      </c>
    </row>
    <row r="121" spans="1:15" x14ac:dyDescent="0.35">
      <c r="A121">
        <v>41395</v>
      </c>
      <c r="B121">
        <v>1231</v>
      </c>
      <c r="C121" t="s">
        <v>23</v>
      </c>
      <c r="D121" t="s">
        <v>24</v>
      </c>
      <c r="E121" t="s">
        <v>28</v>
      </c>
      <c r="F121">
        <v>8</v>
      </c>
      <c r="G121">
        <v>4920</v>
      </c>
      <c r="H121">
        <v>4207.5839999999998</v>
      </c>
      <c r="K121" t="str">
        <f t="shared" si="3"/>
        <v>1.5%</v>
      </c>
      <c r="L121" t="str">
        <f t="shared" si="4"/>
        <v>Need Improvement</v>
      </c>
      <c r="M121" t="b">
        <f>TRUE()</f>
        <v>1</v>
      </c>
      <c r="N121" t="b">
        <f>FALSE()</f>
        <v>0</v>
      </c>
      <c r="O121" s="18" t="b">
        <f t="shared" si="5"/>
        <v>0</v>
      </c>
    </row>
    <row r="122" spans="1:15" x14ac:dyDescent="0.35">
      <c r="A122">
        <v>41396</v>
      </c>
      <c r="B122">
        <v>1232</v>
      </c>
      <c r="C122" t="s">
        <v>26</v>
      </c>
      <c r="D122" t="s">
        <v>24</v>
      </c>
      <c r="E122" t="s">
        <v>28</v>
      </c>
      <c r="F122">
        <v>10</v>
      </c>
      <c r="G122">
        <v>5780</v>
      </c>
      <c r="H122">
        <v>951.96600000000012</v>
      </c>
      <c r="K122" t="str">
        <f t="shared" si="3"/>
        <v>2.5%</v>
      </c>
      <c r="L122" t="str">
        <f t="shared" si="4"/>
        <v>Need Improvement</v>
      </c>
      <c r="M122" t="b">
        <f>TRUE()</f>
        <v>1</v>
      </c>
      <c r="N122" t="b">
        <f>FALSE()</f>
        <v>0</v>
      </c>
      <c r="O122" s="18" t="b">
        <f t="shared" si="5"/>
        <v>0</v>
      </c>
    </row>
    <row r="123" spans="1:15" x14ac:dyDescent="0.35">
      <c r="A123">
        <v>41397</v>
      </c>
      <c r="B123">
        <v>1233</v>
      </c>
      <c r="C123" t="s">
        <v>27</v>
      </c>
      <c r="D123" t="s">
        <v>24</v>
      </c>
      <c r="E123" t="s">
        <v>29</v>
      </c>
      <c r="F123">
        <v>8</v>
      </c>
      <c r="G123">
        <v>3600</v>
      </c>
      <c r="H123">
        <v>1298.8799999999999</v>
      </c>
      <c r="K123" t="str">
        <f t="shared" si="3"/>
        <v>1.5%</v>
      </c>
      <c r="L123" t="str">
        <f t="shared" si="4"/>
        <v>Need Improvement</v>
      </c>
      <c r="M123" t="b">
        <f>TRUE()</f>
        <v>1</v>
      </c>
      <c r="N123" t="b">
        <f>FALSE()</f>
        <v>0</v>
      </c>
      <c r="O123" s="18" t="b">
        <f t="shared" si="5"/>
        <v>0</v>
      </c>
    </row>
    <row r="124" spans="1:15" x14ac:dyDescent="0.35">
      <c r="A124">
        <v>41398</v>
      </c>
      <c r="B124">
        <v>1234</v>
      </c>
      <c r="C124" t="s">
        <v>23</v>
      </c>
      <c r="D124" t="s">
        <v>24</v>
      </c>
      <c r="E124" t="s">
        <v>29</v>
      </c>
      <c r="F124">
        <v>10</v>
      </c>
      <c r="G124">
        <v>4920</v>
      </c>
      <c r="H124">
        <v>2483.3700000000003</v>
      </c>
      <c r="K124" t="str">
        <f t="shared" si="3"/>
        <v>1.5%</v>
      </c>
      <c r="L124" t="str">
        <f t="shared" si="4"/>
        <v>Need Improvement</v>
      </c>
      <c r="M124" t="b">
        <f>TRUE()</f>
        <v>1</v>
      </c>
      <c r="N124" t="b">
        <f>FALSE()</f>
        <v>0</v>
      </c>
      <c r="O124" s="18" t="b">
        <f t="shared" si="5"/>
        <v>0</v>
      </c>
    </row>
    <row r="125" spans="1:15" x14ac:dyDescent="0.35">
      <c r="A125">
        <v>41399</v>
      </c>
      <c r="B125">
        <v>1235</v>
      </c>
      <c r="C125" t="s">
        <v>26</v>
      </c>
      <c r="D125" t="s">
        <v>24</v>
      </c>
      <c r="E125" t="s">
        <v>29</v>
      </c>
      <c r="F125">
        <v>8</v>
      </c>
      <c r="G125">
        <v>5616</v>
      </c>
      <c r="H125">
        <v>1053.5616</v>
      </c>
      <c r="K125" t="str">
        <f t="shared" si="3"/>
        <v>2.5%</v>
      </c>
      <c r="L125" t="str">
        <f t="shared" si="4"/>
        <v>Need Improvement</v>
      </c>
      <c r="M125" t="b">
        <f>TRUE()</f>
        <v>1</v>
      </c>
      <c r="N125" t="b">
        <f>FALSE()</f>
        <v>0</v>
      </c>
      <c r="O125" s="18" t="b">
        <f t="shared" si="5"/>
        <v>0</v>
      </c>
    </row>
    <row r="126" spans="1:15" x14ac:dyDescent="0.35">
      <c r="A126">
        <v>41400</v>
      </c>
      <c r="B126">
        <v>1236</v>
      </c>
      <c r="C126" t="s">
        <v>27</v>
      </c>
      <c r="D126" t="s">
        <v>24</v>
      </c>
      <c r="E126" t="s">
        <v>25</v>
      </c>
      <c r="F126">
        <v>7</v>
      </c>
      <c r="G126">
        <v>7497</v>
      </c>
      <c r="H126">
        <v>1202.5187999999998</v>
      </c>
      <c r="K126" t="str">
        <f t="shared" si="3"/>
        <v>2.5%</v>
      </c>
      <c r="L126" t="str">
        <f t="shared" si="4"/>
        <v>Need Improvement</v>
      </c>
      <c r="M126" t="b">
        <f>TRUE()</f>
        <v>1</v>
      </c>
      <c r="N126" t="b">
        <f>FALSE()</f>
        <v>0</v>
      </c>
      <c r="O126" s="18" t="b">
        <f t="shared" si="5"/>
        <v>0</v>
      </c>
    </row>
    <row r="127" spans="1:15" x14ac:dyDescent="0.35">
      <c r="A127">
        <v>41401</v>
      </c>
      <c r="B127">
        <v>1237</v>
      </c>
      <c r="C127" t="s">
        <v>23</v>
      </c>
      <c r="D127" t="s">
        <v>24</v>
      </c>
      <c r="E127" t="s">
        <v>25</v>
      </c>
      <c r="F127">
        <v>7</v>
      </c>
      <c r="G127">
        <v>8190</v>
      </c>
      <c r="H127">
        <v>1560.1950000000002</v>
      </c>
      <c r="K127" t="str">
        <f t="shared" si="3"/>
        <v>2.5%</v>
      </c>
      <c r="L127" t="str">
        <f t="shared" si="4"/>
        <v>Need Improvement</v>
      </c>
      <c r="M127" t="b">
        <f>TRUE()</f>
        <v>1</v>
      </c>
      <c r="N127" t="b">
        <f>FALSE()</f>
        <v>0</v>
      </c>
      <c r="O127" s="18" t="b">
        <f t="shared" si="5"/>
        <v>0</v>
      </c>
    </row>
    <row r="128" spans="1:15" x14ac:dyDescent="0.35">
      <c r="A128">
        <v>41767</v>
      </c>
      <c r="B128">
        <v>1238</v>
      </c>
      <c r="C128" t="s">
        <v>26</v>
      </c>
      <c r="D128" t="s">
        <v>24</v>
      </c>
      <c r="E128" t="s">
        <v>25</v>
      </c>
      <c r="F128">
        <v>7</v>
      </c>
      <c r="G128">
        <v>6300</v>
      </c>
      <c r="H128">
        <v>830.55000000000007</v>
      </c>
      <c r="K128" t="str">
        <f t="shared" si="3"/>
        <v>2.5%</v>
      </c>
      <c r="L128" t="str">
        <f t="shared" si="4"/>
        <v>Need Improvement</v>
      </c>
      <c r="M128" t="b">
        <f>TRUE()</f>
        <v>1</v>
      </c>
      <c r="N128" t="b">
        <f>FALSE()</f>
        <v>0</v>
      </c>
      <c r="O128" s="18" t="b">
        <f t="shared" si="5"/>
        <v>0</v>
      </c>
    </row>
    <row r="129" spans="1:15" x14ac:dyDescent="0.35">
      <c r="A129">
        <v>41768</v>
      </c>
      <c r="B129">
        <v>1239</v>
      </c>
      <c r="C129" t="s">
        <v>27</v>
      </c>
      <c r="D129" t="s">
        <v>24</v>
      </c>
      <c r="E129" t="s">
        <v>28</v>
      </c>
      <c r="F129">
        <v>9</v>
      </c>
      <c r="G129">
        <v>2367</v>
      </c>
      <c r="H129">
        <v>1017.81</v>
      </c>
      <c r="K129" t="str">
        <f t="shared" si="3"/>
        <v>1.5%</v>
      </c>
      <c r="L129" t="str">
        <f t="shared" si="4"/>
        <v>Need Improvement</v>
      </c>
      <c r="M129" t="b">
        <f>TRUE()</f>
        <v>1</v>
      </c>
      <c r="N129" t="b">
        <f>FALSE()</f>
        <v>0</v>
      </c>
      <c r="O129" s="18" t="b">
        <f t="shared" si="5"/>
        <v>0</v>
      </c>
    </row>
    <row r="130" spans="1:15" x14ac:dyDescent="0.35">
      <c r="A130">
        <v>41769</v>
      </c>
      <c r="B130">
        <v>1240</v>
      </c>
      <c r="C130" t="s">
        <v>23</v>
      </c>
      <c r="D130" t="s">
        <v>24</v>
      </c>
      <c r="E130" t="s">
        <v>28</v>
      </c>
      <c r="F130">
        <v>10</v>
      </c>
      <c r="G130">
        <v>4220</v>
      </c>
      <c r="H130">
        <v>3501.5450000000001</v>
      </c>
      <c r="K130" t="str">
        <f t="shared" si="3"/>
        <v>1.5%</v>
      </c>
      <c r="L130" t="str">
        <f t="shared" si="4"/>
        <v>Need Improvement</v>
      </c>
      <c r="M130" t="b">
        <f>TRUE()</f>
        <v>1</v>
      </c>
      <c r="N130" t="b">
        <f>FALSE()</f>
        <v>0</v>
      </c>
      <c r="O130" s="18" t="b">
        <f t="shared" si="5"/>
        <v>0</v>
      </c>
    </row>
    <row r="131" spans="1:15" x14ac:dyDescent="0.35">
      <c r="A131">
        <v>41770</v>
      </c>
      <c r="B131">
        <v>1241</v>
      </c>
      <c r="C131" t="s">
        <v>26</v>
      </c>
      <c r="D131" t="s">
        <v>24</v>
      </c>
      <c r="E131" t="s">
        <v>28</v>
      </c>
      <c r="F131">
        <v>8</v>
      </c>
      <c r="G131">
        <v>10360</v>
      </c>
      <c r="H131">
        <v>878.52800000000002</v>
      </c>
      <c r="K131" t="str">
        <f t="shared" ref="K131:K194" si="6">IF(G131&gt;10000,"5%",IF(AND(G131&gt;=5000,G131&lt;10000),"2.5%","1.5%"))</f>
        <v>5%</v>
      </c>
      <c r="L131" t="str">
        <f t="shared" ref="L131:L194" si="7">IF(OR(G131&gt;10000,H131&gt;=5000),"Good","Need Improvement")</f>
        <v>Good</v>
      </c>
      <c r="M131" t="b">
        <f>TRUE()</f>
        <v>1</v>
      </c>
      <c r="N131" t="b">
        <f>FALSE()</f>
        <v>0</v>
      </c>
      <c r="O131" s="18" t="b">
        <f t="shared" ref="O131:O194" si="8">NOT(M131)</f>
        <v>0</v>
      </c>
    </row>
    <row r="132" spans="1:15" x14ac:dyDescent="0.35">
      <c r="A132">
        <v>41771</v>
      </c>
      <c r="B132">
        <v>1242</v>
      </c>
      <c r="C132" t="s">
        <v>27</v>
      </c>
      <c r="D132" t="s">
        <v>24</v>
      </c>
      <c r="E132" t="s">
        <v>29</v>
      </c>
      <c r="F132">
        <v>8</v>
      </c>
      <c r="G132">
        <v>8172</v>
      </c>
      <c r="H132">
        <v>1119.2916</v>
      </c>
      <c r="K132" t="str">
        <f t="shared" si="6"/>
        <v>2.5%</v>
      </c>
      <c r="L132" t="str">
        <f t="shared" si="7"/>
        <v>Need Improvement</v>
      </c>
      <c r="M132" t="b">
        <f>TRUE()</f>
        <v>1</v>
      </c>
      <c r="N132" t="b">
        <f>FALSE()</f>
        <v>0</v>
      </c>
      <c r="O132" s="18" t="b">
        <f t="shared" si="8"/>
        <v>0</v>
      </c>
    </row>
    <row r="133" spans="1:15" x14ac:dyDescent="0.35">
      <c r="A133">
        <v>41772</v>
      </c>
      <c r="B133">
        <v>1243</v>
      </c>
      <c r="C133" t="s">
        <v>23</v>
      </c>
      <c r="D133" t="s">
        <v>24</v>
      </c>
      <c r="E133" t="s">
        <v>29</v>
      </c>
      <c r="F133">
        <v>8</v>
      </c>
      <c r="G133">
        <v>6456</v>
      </c>
      <c r="H133">
        <v>1560.2</v>
      </c>
      <c r="K133" t="str">
        <f t="shared" si="6"/>
        <v>2.5%</v>
      </c>
      <c r="L133" t="str">
        <f t="shared" si="7"/>
        <v>Need Improvement</v>
      </c>
      <c r="M133" t="b">
        <f>TRUE()</f>
        <v>1</v>
      </c>
      <c r="N133" t="b">
        <f>FALSE()</f>
        <v>0</v>
      </c>
      <c r="O133" s="18" t="b">
        <f t="shared" si="8"/>
        <v>0</v>
      </c>
    </row>
    <row r="134" spans="1:15" x14ac:dyDescent="0.35">
      <c r="A134">
        <v>41773</v>
      </c>
      <c r="B134">
        <v>1244</v>
      </c>
      <c r="C134" t="s">
        <v>26</v>
      </c>
      <c r="D134" t="s">
        <v>24</v>
      </c>
      <c r="E134" t="s">
        <v>29</v>
      </c>
      <c r="F134">
        <v>6</v>
      </c>
      <c r="G134">
        <v>4995</v>
      </c>
      <c r="H134">
        <v>3698.7974999999997</v>
      </c>
      <c r="K134" t="str">
        <f t="shared" si="6"/>
        <v>1.5%</v>
      </c>
      <c r="L134" t="str">
        <f t="shared" si="7"/>
        <v>Need Improvement</v>
      </c>
      <c r="M134" t="b">
        <f>TRUE()</f>
        <v>1</v>
      </c>
      <c r="N134" t="b">
        <f>FALSE()</f>
        <v>0</v>
      </c>
      <c r="O134" s="18" t="b">
        <f t="shared" si="8"/>
        <v>0</v>
      </c>
    </row>
    <row r="135" spans="1:15" x14ac:dyDescent="0.35">
      <c r="A135">
        <v>41774</v>
      </c>
      <c r="B135">
        <v>1245</v>
      </c>
      <c r="C135" t="s">
        <v>27</v>
      </c>
      <c r="D135" t="s">
        <v>24</v>
      </c>
      <c r="E135" t="s">
        <v>25</v>
      </c>
      <c r="F135">
        <v>7</v>
      </c>
      <c r="G135">
        <v>3192</v>
      </c>
      <c r="H135">
        <v>653.40239999999994</v>
      </c>
      <c r="K135" t="str">
        <f t="shared" si="6"/>
        <v>1.5%</v>
      </c>
      <c r="L135" t="str">
        <f t="shared" si="7"/>
        <v>Need Improvement</v>
      </c>
      <c r="M135" t="b">
        <f>TRUE()</f>
        <v>1</v>
      </c>
      <c r="N135" t="b">
        <f>FALSE()</f>
        <v>0</v>
      </c>
      <c r="O135" s="18" t="b">
        <f t="shared" si="8"/>
        <v>0</v>
      </c>
    </row>
    <row r="136" spans="1:15" x14ac:dyDescent="0.35">
      <c r="A136">
        <v>41775</v>
      </c>
      <c r="B136">
        <v>1246</v>
      </c>
      <c r="C136" t="s">
        <v>23</v>
      </c>
      <c r="D136" t="s">
        <v>24</v>
      </c>
      <c r="E136" t="s">
        <v>25</v>
      </c>
      <c r="F136">
        <v>7</v>
      </c>
      <c r="G136">
        <v>1811.25</v>
      </c>
      <c r="H136">
        <v>1176.2257500000001</v>
      </c>
      <c r="K136" t="str">
        <f t="shared" si="6"/>
        <v>1.5%</v>
      </c>
      <c r="L136" t="str">
        <f t="shared" si="7"/>
        <v>Need Improvement</v>
      </c>
      <c r="M136" t="b">
        <f>TRUE()</f>
        <v>1</v>
      </c>
      <c r="N136" t="b">
        <f>FALSE()</f>
        <v>0</v>
      </c>
      <c r="O136" s="18" t="b">
        <f t="shared" si="8"/>
        <v>0</v>
      </c>
    </row>
    <row r="137" spans="1:15" x14ac:dyDescent="0.35">
      <c r="A137">
        <v>41776</v>
      </c>
      <c r="B137">
        <v>1247</v>
      </c>
      <c r="C137" t="s">
        <v>26</v>
      </c>
      <c r="D137" t="s">
        <v>24</v>
      </c>
      <c r="E137" t="s">
        <v>25</v>
      </c>
      <c r="F137">
        <v>8</v>
      </c>
      <c r="G137">
        <v>8940</v>
      </c>
      <c r="H137">
        <v>1266.2616000000003</v>
      </c>
      <c r="K137" t="str">
        <f t="shared" si="6"/>
        <v>2.5%</v>
      </c>
      <c r="L137" t="str">
        <f t="shared" si="7"/>
        <v>Need Improvement</v>
      </c>
      <c r="M137" t="b">
        <f>TRUE()</f>
        <v>1</v>
      </c>
      <c r="N137" t="b">
        <f>FALSE()</f>
        <v>0</v>
      </c>
      <c r="O137" s="18" t="b">
        <f t="shared" si="8"/>
        <v>0</v>
      </c>
    </row>
    <row r="138" spans="1:15" x14ac:dyDescent="0.35">
      <c r="A138">
        <v>41777</v>
      </c>
      <c r="B138">
        <v>1248</v>
      </c>
      <c r="C138" t="s">
        <v>27</v>
      </c>
      <c r="D138" t="s">
        <v>24</v>
      </c>
      <c r="E138" t="s">
        <v>28</v>
      </c>
      <c r="F138">
        <v>7</v>
      </c>
      <c r="G138">
        <v>4882.5</v>
      </c>
      <c r="H138">
        <v>593.71199999999999</v>
      </c>
      <c r="K138" t="str">
        <f t="shared" si="6"/>
        <v>1.5%</v>
      </c>
      <c r="L138" t="str">
        <f t="shared" si="7"/>
        <v>Need Improvement</v>
      </c>
      <c r="M138" t="b">
        <f>TRUE()</f>
        <v>1</v>
      </c>
      <c r="N138" t="b">
        <f>FALSE()</f>
        <v>0</v>
      </c>
      <c r="O138" s="18" t="b">
        <f t="shared" si="8"/>
        <v>0</v>
      </c>
    </row>
    <row r="139" spans="1:15" x14ac:dyDescent="0.35">
      <c r="A139">
        <v>41778</v>
      </c>
      <c r="B139">
        <v>1249</v>
      </c>
      <c r="C139" t="s">
        <v>23</v>
      </c>
      <c r="D139" t="s">
        <v>24</v>
      </c>
      <c r="E139" t="s">
        <v>28</v>
      </c>
      <c r="F139">
        <v>10</v>
      </c>
      <c r="G139">
        <v>8370</v>
      </c>
      <c r="H139">
        <v>1056.2939999999999</v>
      </c>
      <c r="K139" t="str">
        <f t="shared" si="6"/>
        <v>2.5%</v>
      </c>
      <c r="L139" t="str">
        <f t="shared" si="7"/>
        <v>Need Improvement</v>
      </c>
      <c r="M139" t="b">
        <f>TRUE()</f>
        <v>1</v>
      </c>
      <c r="N139" t="b">
        <f>FALSE()</f>
        <v>0</v>
      </c>
      <c r="O139" s="18" t="b">
        <f t="shared" si="8"/>
        <v>0</v>
      </c>
    </row>
    <row r="140" spans="1:15" x14ac:dyDescent="0.35">
      <c r="A140">
        <v>41779</v>
      </c>
      <c r="B140">
        <v>1250</v>
      </c>
      <c r="C140" t="s">
        <v>26</v>
      </c>
      <c r="D140" t="s">
        <v>24</v>
      </c>
      <c r="E140" t="s">
        <v>28</v>
      </c>
      <c r="F140">
        <v>6</v>
      </c>
      <c r="G140">
        <v>3078</v>
      </c>
      <c r="H140">
        <v>1099.4616000000001</v>
      </c>
      <c r="K140" t="str">
        <f t="shared" si="6"/>
        <v>1.5%</v>
      </c>
      <c r="L140" t="str">
        <f t="shared" si="7"/>
        <v>Need Improvement</v>
      </c>
      <c r="M140" t="b">
        <f>TRUE()</f>
        <v>1</v>
      </c>
      <c r="N140" t="b">
        <f>FALSE()</f>
        <v>0</v>
      </c>
      <c r="O140" s="18" t="b">
        <f t="shared" si="8"/>
        <v>0</v>
      </c>
    </row>
    <row r="141" spans="1:15" x14ac:dyDescent="0.35">
      <c r="A141">
        <v>41780</v>
      </c>
      <c r="B141">
        <v>1251</v>
      </c>
      <c r="C141" t="s">
        <v>27</v>
      </c>
      <c r="D141" t="s">
        <v>24</v>
      </c>
      <c r="E141" t="s">
        <v>29</v>
      </c>
      <c r="F141">
        <v>8</v>
      </c>
      <c r="G141">
        <v>2256</v>
      </c>
      <c r="H141">
        <v>2038.5216</v>
      </c>
      <c r="K141" t="str">
        <f t="shared" si="6"/>
        <v>1.5%</v>
      </c>
      <c r="L141" t="str">
        <f t="shared" si="7"/>
        <v>Need Improvement</v>
      </c>
      <c r="M141" t="b">
        <f>TRUE()</f>
        <v>1</v>
      </c>
      <c r="N141" t="b">
        <f>FALSE()</f>
        <v>0</v>
      </c>
      <c r="O141" s="18" t="b">
        <f t="shared" si="8"/>
        <v>0</v>
      </c>
    </row>
    <row r="142" spans="1:15" x14ac:dyDescent="0.35">
      <c r="A142">
        <v>41781</v>
      </c>
      <c r="B142">
        <v>1252</v>
      </c>
      <c r="C142" t="s">
        <v>23</v>
      </c>
      <c r="D142" t="s">
        <v>24</v>
      </c>
      <c r="E142" t="s">
        <v>29</v>
      </c>
      <c r="F142">
        <v>10</v>
      </c>
      <c r="G142">
        <v>2385</v>
      </c>
      <c r="H142">
        <v>3506.9039999999995</v>
      </c>
      <c r="K142" t="str">
        <f t="shared" si="6"/>
        <v>1.5%</v>
      </c>
      <c r="L142" t="str">
        <f t="shared" si="7"/>
        <v>Need Improvement</v>
      </c>
      <c r="M142" t="b">
        <f>TRUE()</f>
        <v>1</v>
      </c>
      <c r="N142" t="b">
        <f>FALSE()</f>
        <v>0</v>
      </c>
      <c r="O142" s="18" t="b">
        <f t="shared" si="8"/>
        <v>0</v>
      </c>
    </row>
    <row r="143" spans="1:15" x14ac:dyDescent="0.35">
      <c r="A143">
        <v>41782</v>
      </c>
      <c r="B143">
        <v>1253</v>
      </c>
      <c r="C143" t="s">
        <v>26</v>
      </c>
      <c r="D143" t="s">
        <v>24</v>
      </c>
      <c r="E143" t="s">
        <v>29</v>
      </c>
      <c r="F143">
        <v>6</v>
      </c>
      <c r="G143">
        <v>13410</v>
      </c>
      <c r="H143">
        <v>1887.5915999999997</v>
      </c>
      <c r="K143" t="str">
        <f t="shared" si="6"/>
        <v>5%</v>
      </c>
      <c r="L143" t="str">
        <f t="shared" si="7"/>
        <v>Good</v>
      </c>
      <c r="M143" t="b">
        <f>TRUE()</f>
        <v>1</v>
      </c>
      <c r="N143" t="b">
        <f>FALSE()</f>
        <v>0</v>
      </c>
      <c r="O143" s="18" t="b">
        <f t="shared" si="8"/>
        <v>0</v>
      </c>
    </row>
    <row r="144" spans="1:15" x14ac:dyDescent="0.35">
      <c r="A144">
        <v>41783</v>
      </c>
      <c r="B144">
        <v>1254</v>
      </c>
      <c r="C144" t="s">
        <v>27</v>
      </c>
      <c r="D144" t="s">
        <v>24</v>
      </c>
      <c r="E144" t="s">
        <v>25</v>
      </c>
      <c r="F144">
        <v>10</v>
      </c>
      <c r="G144">
        <v>10000</v>
      </c>
      <c r="H144">
        <v>1642.0000000000002</v>
      </c>
      <c r="K144" t="str">
        <f t="shared" si="6"/>
        <v>1.5%</v>
      </c>
      <c r="L144" t="str">
        <f t="shared" si="7"/>
        <v>Need Improvement</v>
      </c>
      <c r="M144" t="b">
        <f>TRUE()</f>
        <v>1</v>
      </c>
      <c r="N144" t="b">
        <f>FALSE()</f>
        <v>0</v>
      </c>
      <c r="O144" s="18" t="b">
        <f t="shared" si="8"/>
        <v>0</v>
      </c>
    </row>
    <row r="145" spans="1:15" x14ac:dyDescent="0.35">
      <c r="A145">
        <v>41784</v>
      </c>
      <c r="B145">
        <v>1255</v>
      </c>
      <c r="C145" t="s">
        <v>23</v>
      </c>
      <c r="D145" t="s">
        <v>24</v>
      </c>
      <c r="E145" t="s">
        <v>25</v>
      </c>
      <c r="F145">
        <v>7</v>
      </c>
      <c r="G145">
        <v>6363</v>
      </c>
      <c r="H145">
        <v>663.02459999999996</v>
      </c>
      <c r="K145" t="str">
        <f t="shared" si="6"/>
        <v>2.5%</v>
      </c>
      <c r="L145" t="str">
        <f t="shared" si="7"/>
        <v>Need Improvement</v>
      </c>
      <c r="M145" t="b">
        <f>TRUE()</f>
        <v>1</v>
      </c>
      <c r="N145" t="b">
        <f>FALSE()</f>
        <v>0</v>
      </c>
      <c r="O145" s="18" t="b">
        <f t="shared" si="8"/>
        <v>0</v>
      </c>
    </row>
    <row r="146" spans="1:15" x14ac:dyDescent="0.35">
      <c r="A146">
        <v>41785</v>
      </c>
      <c r="B146">
        <v>1256</v>
      </c>
      <c r="C146" t="s">
        <v>26</v>
      </c>
      <c r="D146" t="s">
        <v>24</v>
      </c>
      <c r="E146" t="s">
        <v>25</v>
      </c>
      <c r="F146">
        <v>8</v>
      </c>
      <c r="G146">
        <v>2712</v>
      </c>
      <c r="H146">
        <v>1825.1760000000002</v>
      </c>
      <c r="K146" t="str">
        <f t="shared" si="6"/>
        <v>1.5%</v>
      </c>
      <c r="L146" t="str">
        <f t="shared" si="7"/>
        <v>Need Improvement</v>
      </c>
      <c r="M146" t="b">
        <f>TRUE()</f>
        <v>1</v>
      </c>
      <c r="N146" t="b">
        <f>FALSE()</f>
        <v>0</v>
      </c>
      <c r="O146" s="18" t="b">
        <f t="shared" si="8"/>
        <v>0</v>
      </c>
    </row>
    <row r="147" spans="1:15" x14ac:dyDescent="0.35">
      <c r="A147">
        <v>41786</v>
      </c>
      <c r="B147">
        <v>1257</v>
      </c>
      <c r="C147" t="s">
        <v>27</v>
      </c>
      <c r="D147" t="s">
        <v>24</v>
      </c>
      <c r="E147" t="s">
        <v>28</v>
      </c>
      <c r="F147">
        <v>9</v>
      </c>
      <c r="G147">
        <v>4644</v>
      </c>
      <c r="H147">
        <v>912.08159999999998</v>
      </c>
      <c r="K147" t="str">
        <f t="shared" si="6"/>
        <v>1.5%</v>
      </c>
      <c r="L147" t="str">
        <f t="shared" si="7"/>
        <v>Need Improvement</v>
      </c>
      <c r="M147" t="b">
        <f>TRUE()</f>
        <v>1</v>
      </c>
      <c r="N147" t="b">
        <f>FALSE()</f>
        <v>0</v>
      </c>
      <c r="O147" s="18" t="b">
        <f t="shared" si="8"/>
        <v>0</v>
      </c>
    </row>
    <row r="148" spans="1:15" x14ac:dyDescent="0.35">
      <c r="A148">
        <v>41787</v>
      </c>
      <c r="B148">
        <v>1258</v>
      </c>
      <c r="C148" t="s">
        <v>23</v>
      </c>
      <c r="D148" t="s">
        <v>24</v>
      </c>
      <c r="E148" t="s">
        <v>28</v>
      </c>
      <c r="F148">
        <v>9</v>
      </c>
      <c r="G148">
        <v>1795.5</v>
      </c>
      <c r="H148">
        <v>677.44215000000008</v>
      </c>
      <c r="K148" t="str">
        <f t="shared" si="6"/>
        <v>1.5%</v>
      </c>
      <c r="L148" t="str">
        <f t="shared" si="7"/>
        <v>Need Improvement</v>
      </c>
      <c r="M148" t="b">
        <f>TRUE()</f>
        <v>1</v>
      </c>
      <c r="N148" t="b">
        <f>FALSE()</f>
        <v>0</v>
      </c>
      <c r="O148" s="18" t="b">
        <f t="shared" si="8"/>
        <v>0</v>
      </c>
    </row>
    <row r="149" spans="1:15" x14ac:dyDescent="0.35">
      <c r="A149">
        <v>41788</v>
      </c>
      <c r="B149">
        <v>1259</v>
      </c>
      <c r="C149" t="s">
        <v>26</v>
      </c>
      <c r="D149" t="s">
        <v>24</v>
      </c>
      <c r="E149" t="s">
        <v>28</v>
      </c>
      <c r="F149">
        <v>9</v>
      </c>
      <c r="G149">
        <v>6318</v>
      </c>
      <c r="H149">
        <v>1817.4780000000001</v>
      </c>
      <c r="K149" t="str">
        <f t="shared" si="6"/>
        <v>2.5%</v>
      </c>
      <c r="L149" t="str">
        <f t="shared" si="7"/>
        <v>Need Improvement</v>
      </c>
      <c r="M149" t="b">
        <f>TRUE()</f>
        <v>1</v>
      </c>
      <c r="N149" t="b">
        <f>FALSE()</f>
        <v>0</v>
      </c>
      <c r="O149" s="18" t="b">
        <f t="shared" si="8"/>
        <v>0</v>
      </c>
    </row>
    <row r="150" spans="1:15" x14ac:dyDescent="0.35">
      <c r="A150">
        <v>41789</v>
      </c>
      <c r="B150">
        <v>1260</v>
      </c>
      <c r="C150" t="s">
        <v>27</v>
      </c>
      <c r="D150" t="s">
        <v>24</v>
      </c>
      <c r="E150" t="s">
        <v>29</v>
      </c>
      <c r="F150">
        <v>10</v>
      </c>
      <c r="G150">
        <v>13050</v>
      </c>
      <c r="H150">
        <v>2962.0889999999999</v>
      </c>
      <c r="K150" t="str">
        <f t="shared" si="6"/>
        <v>5%</v>
      </c>
      <c r="L150" t="str">
        <f t="shared" si="7"/>
        <v>Good</v>
      </c>
      <c r="M150" t="b">
        <f>TRUE()</f>
        <v>1</v>
      </c>
      <c r="N150" t="b">
        <f>FALSE()</f>
        <v>0</v>
      </c>
      <c r="O150" s="18" t="b">
        <f t="shared" si="8"/>
        <v>0</v>
      </c>
    </row>
    <row r="151" spans="1:15" x14ac:dyDescent="0.35">
      <c r="A151">
        <v>41790</v>
      </c>
      <c r="B151">
        <v>1261</v>
      </c>
      <c r="C151" t="s">
        <v>23</v>
      </c>
      <c r="D151" t="s">
        <v>24</v>
      </c>
      <c r="E151" t="s">
        <v>29</v>
      </c>
      <c r="F151">
        <v>7</v>
      </c>
      <c r="G151">
        <v>3717</v>
      </c>
      <c r="H151">
        <v>1329.1992</v>
      </c>
      <c r="K151" t="str">
        <f t="shared" si="6"/>
        <v>1.5%</v>
      </c>
      <c r="L151" t="str">
        <f t="shared" si="7"/>
        <v>Need Improvement</v>
      </c>
      <c r="M151" t="b">
        <f>TRUE()</f>
        <v>1</v>
      </c>
      <c r="N151" t="b">
        <f>FALSE()</f>
        <v>0</v>
      </c>
      <c r="O151" s="18" t="b">
        <f t="shared" si="8"/>
        <v>0</v>
      </c>
    </row>
    <row r="152" spans="1:15" x14ac:dyDescent="0.35">
      <c r="A152">
        <v>41791</v>
      </c>
      <c r="B152">
        <v>1262</v>
      </c>
      <c r="C152" t="s">
        <v>26</v>
      </c>
      <c r="D152" t="s">
        <v>24</v>
      </c>
      <c r="E152" t="s">
        <v>29</v>
      </c>
      <c r="F152">
        <v>9</v>
      </c>
      <c r="G152">
        <v>7722</v>
      </c>
      <c r="H152">
        <v>1851.2207999999998</v>
      </c>
      <c r="K152" t="str">
        <f t="shared" si="6"/>
        <v>2.5%</v>
      </c>
      <c r="L152" t="str">
        <f t="shared" si="7"/>
        <v>Need Improvement</v>
      </c>
      <c r="M152" t="b">
        <f>TRUE()</f>
        <v>1</v>
      </c>
      <c r="N152" t="b">
        <f>FALSE()</f>
        <v>0</v>
      </c>
      <c r="O152" s="18" t="b">
        <f t="shared" si="8"/>
        <v>0</v>
      </c>
    </row>
    <row r="153" spans="1:15" x14ac:dyDescent="0.35">
      <c r="A153">
        <v>41792</v>
      </c>
      <c r="B153">
        <v>1263</v>
      </c>
      <c r="C153" t="s">
        <v>27</v>
      </c>
      <c r="D153" t="s">
        <v>24</v>
      </c>
      <c r="E153" t="s">
        <v>25</v>
      </c>
      <c r="F153">
        <v>10</v>
      </c>
      <c r="G153">
        <v>9000</v>
      </c>
      <c r="H153">
        <v>3937.5</v>
      </c>
      <c r="K153" t="str">
        <f t="shared" si="6"/>
        <v>2.5%</v>
      </c>
      <c r="L153" t="str">
        <f t="shared" si="7"/>
        <v>Need Improvement</v>
      </c>
      <c r="M153" t="b">
        <f>TRUE()</f>
        <v>1</v>
      </c>
      <c r="N153" t="b">
        <f>FALSE()</f>
        <v>0</v>
      </c>
      <c r="O153" s="18" t="b">
        <f t="shared" si="8"/>
        <v>0</v>
      </c>
    </row>
    <row r="154" spans="1:15" x14ac:dyDescent="0.35">
      <c r="A154">
        <v>41793</v>
      </c>
      <c r="B154">
        <v>1264</v>
      </c>
      <c r="C154" t="s">
        <v>23</v>
      </c>
      <c r="D154" t="s">
        <v>24</v>
      </c>
      <c r="E154" t="s">
        <v>25</v>
      </c>
      <c r="F154">
        <v>8</v>
      </c>
      <c r="G154">
        <v>14580</v>
      </c>
      <c r="H154">
        <v>2174.7528000000002</v>
      </c>
      <c r="K154" t="str">
        <f t="shared" si="6"/>
        <v>5%</v>
      </c>
      <c r="L154" t="str">
        <f t="shared" si="7"/>
        <v>Good</v>
      </c>
      <c r="M154" t="b">
        <f>TRUE()</f>
        <v>1</v>
      </c>
      <c r="N154" t="b">
        <f>FALSE()</f>
        <v>0</v>
      </c>
      <c r="O154" s="18" t="b">
        <f t="shared" si="8"/>
        <v>0</v>
      </c>
    </row>
    <row r="155" spans="1:15" x14ac:dyDescent="0.35">
      <c r="A155">
        <v>41794</v>
      </c>
      <c r="B155">
        <v>1265</v>
      </c>
      <c r="C155" t="s">
        <v>26</v>
      </c>
      <c r="D155" t="s">
        <v>24</v>
      </c>
      <c r="E155" t="s">
        <v>25</v>
      </c>
      <c r="F155">
        <v>10</v>
      </c>
      <c r="G155">
        <v>5520</v>
      </c>
      <c r="H155">
        <v>864.4319999999999</v>
      </c>
      <c r="K155" t="str">
        <f t="shared" si="6"/>
        <v>2.5%</v>
      </c>
      <c r="L155" t="str">
        <f t="shared" si="7"/>
        <v>Need Improvement</v>
      </c>
      <c r="M155" t="b">
        <f>TRUE()</f>
        <v>1</v>
      </c>
      <c r="N155" t="b">
        <f>FALSE()</f>
        <v>0</v>
      </c>
      <c r="O155" s="18" t="b">
        <f t="shared" si="8"/>
        <v>0</v>
      </c>
    </row>
    <row r="156" spans="1:15" x14ac:dyDescent="0.35">
      <c r="A156">
        <v>41795</v>
      </c>
      <c r="B156">
        <v>1266</v>
      </c>
      <c r="C156" t="s">
        <v>27</v>
      </c>
      <c r="D156" t="s">
        <v>24</v>
      </c>
      <c r="E156" t="s">
        <v>28</v>
      </c>
      <c r="F156">
        <v>9</v>
      </c>
      <c r="G156">
        <v>13050</v>
      </c>
      <c r="H156">
        <v>2286.36</v>
      </c>
      <c r="K156" t="str">
        <f t="shared" si="6"/>
        <v>5%</v>
      </c>
      <c r="L156" t="str">
        <f t="shared" si="7"/>
        <v>Good</v>
      </c>
      <c r="M156" t="b">
        <f>TRUE()</f>
        <v>1</v>
      </c>
      <c r="N156" t="b">
        <f>FALSE()</f>
        <v>0</v>
      </c>
      <c r="O156" s="18" t="b">
        <f t="shared" si="8"/>
        <v>0</v>
      </c>
    </row>
    <row r="157" spans="1:15" x14ac:dyDescent="0.35">
      <c r="A157">
        <v>41796</v>
      </c>
      <c r="B157">
        <v>1267</v>
      </c>
      <c r="C157" t="s">
        <v>23</v>
      </c>
      <c r="D157" t="s">
        <v>24</v>
      </c>
      <c r="E157" t="s">
        <v>28</v>
      </c>
      <c r="F157">
        <v>10</v>
      </c>
      <c r="G157">
        <v>6750</v>
      </c>
      <c r="H157">
        <v>2286.8999999999996</v>
      </c>
      <c r="K157" t="str">
        <f t="shared" si="6"/>
        <v>2.5%</v>
      </c>
      <c r="L157" t="str">
        <f t="shared" si="7"/>
        <v>Need Improvement</v>
      </c>
      <c r="M157" t="b">
        <f>TRUE()</f>
        <v>1</v>
      </c>
      <c r="N157" t="b">
        <f>FALSE()</f>
        <v>0</v>
      </c>
      <c r="O157" s="18" t="b">
        <f t="shared" si="8"/>
        <v>0</v>
      </c>
    </row>
    <row r="158" spans="1:15" x14ac:dyDescent="0.35">
      <c r="A158">
        <v>41797</v>
      </c>
      <c r="B158">
        <v>1268</v>
      </c>
      <c r="C158" t="s">
        <v>26</v>
      </c>
      <c r="D158" t="s">
        <v>24</v>
      </c>
      <c r="E158" t="s">
        <v>28</v>
      </c>
      <c r="F158">
        <v>6</v>
      </c>
      <c r="G158">
        <v>5562</v>
      </c>
      <c r="H158">
        <v>2666.9790000000003</v>
      </c>
      <c r="K158" t="str">
        <f t="shared" si="6"/>
        <v>2.5%</v>
      </c>
      <c r="L158" t="str">
        <f t="shared" si="7"/>
        <v>Need Improvement</v>
      </c>
      <c r="M158" t="b">
        <f>TRUE()</f>
        <v>1</v>
      </c>
      <c r="N158" t="b">
        <f>FALSE()</f>
        <v>0</v>
      </c>
      <c r="O158" s="18" t="b">
        <f t="shared" si="8"/>
        <v>0</v>
      </c>
    </row>
    <row r="159" spans="1:15" x14ac:dyDescent="0.35">
      <c r="A159">
        <v>41798</v>
      </c>
      <c r="B159">
        <v>1269</v>
      </c>
      <c r="C159" t="s">
        <v>27</v>
      </c>
      <c r="D159" t="s">
        <v>24</v>
      </c>
      <c r="E159" t="s">
        <v>29</v>
      </c>
      <c r="F159">
        <v>7</v>
      </c>
      <c r="G159">
        <v>3129</v>
      </c>
      <c r="H159">
        <v>1555.4258999999997</v>
      </c>
      <c r="K159" t="str">
        <f t="shared" si="6"/>
        <v>1.5%</v>
      </c>
      <c r="L159" t="str">
        <f t="shared" si="7"/>
        <v>Need Improvement</v>
      </c>
      <c r="M159" t="b">
        <f>TRUE()</f>
        <v>1</v>
      </c>
      <c r="N159" t="b">
        <f>FALSE()</f>
        <v>0</v>
      </c>
      <c r="O159" s="18" t="b">
        <f t="shared" si="8"/>
        <v>0</v>
      </c>
    </row>
    <row r="160" spans="1:15" x14ac:dyDescent="0.35">
      <c r="A160">
        <v>41799</v>
      </c>
      <c r="B160">
        <v>1270</v>
      </c>
      <c r="C160" t="s">
        <v>23</v>
      </c>
      <c r="D160" t="s">
        <v>24</v>
      </c>
      <c r="E160" t="s">
        <v>29</v>
      </c>
      <c r="F160">
        <v>8</v>
      </c>
      <c r="G160">
        <v>5688</v>
      </c>
      <c r="H160">
        <v>5102.1360000000004</v>
      </c>
      <c r="K160" t="str">
        <f t="shared" si="6"/>
        <v>2.5%</v>
      </c>
      <c r="L160" t="str">
        <f t="shared" si="7"/>
        <v>Good</v>
      </c>
      <c r="M160" t="b">
        <f>TRUE()</f>
        <v>1</v>
      </c>
      <c r="N160" t="b">
        <f>FALSE()</f>
        <v>0</v>
      </c>
      <c r="O160" s="18" t="b">
        <f t="shared" si="8"/>
        <v>0</v>
      </c>
    </row>
    <row r="161" spans="1:15" x14ac:dyDescent="0.35">
      <c r="A161">
        <v>41800</v>
      </c>
      <c r="B161">
        <v>1271</v>
      </c>
      <c r="C161" t="s">
        <v>26</v>
      </c>
      <c r="D161" t="s">
        <v>24</v>
      </c>
      <c r="E161" t="s">
        <v>29</v>
      </c>
      <c r="F161">
        <v>10</v>
      </c>
      <c r="G161">
        <v>1545</v>
      </c>
      <c r="H161">
        <v>532.09799999999996</v>
      </c>
      <c r="K161" t="str">
        <f t="shared" si="6"/>
        <v>1.5%</v>
      </c>
      <c r="L161" t="str">
        <f t="shared" si="7"/>
        <v>Need Improvement</v>
      </c>
      <c r="M161" t="b">
        <f>TRUE()</f>
        <v>1</v>
      </c>
      <c r="N161" t="b">
        <f>FALSE()</f>
        <v>0</v>
      </c>
      <c r="O161" s="18" t="b">
        <f t="shared" si="8"/>
        <v>0</v>
      </c>
    </row>
    <row r="162" spans="1:15" x14ac:dyDescent="0.35">
      <c r="A162">
        <v>41801</v>
      </c>
      <c r="B162">
        <v>1272</v>
      </c>
      <c r="C162" t="s">
        <v>27</v>
      </c>
      <c r="D162" t="s">
        <v>24</v>
      </c>
      <c r="E162" t="s">
        <v>25</v>
      </c>
      <c r="F162">
        <v>7</v>
      </c>
      <c r="G162">
        <v>8599.5</v>
      </c>
      <c r="H162">
        <v>5433.45075</v>
      </c>
      <c r="K162" t="str">
        <f t="shared" si="6"/>
        <v>2.5%</v>
      </c>
      <c r="L162" t="str">
        <f t="shared" si="7"/>
        <v>Good</v>
      </c>
      <c r="M162" t="b">
        <f>TRUE()</f>
        <v>1</v>
      </c>
      <c r="N162" t="b">
        <f>FALSE()</f>
        <v>0</v>
      </c>
      <c r="O162" s="18" t="b">
        <f t="shared" si="8"/>
        <v>0</v>
      </c>
    </row>
    <row r="163" spans="1:15" x14ac:dyDescent="0.35">
      <c r="A163">
        <v>41802</v>
      </c>
      <c r="B163">
        <v>1273</v>
      </c>
      <c r="C163" t="s">
        <v>23</v>
      </c>
      <c r="D163" t="s">
        <v>24</v>
      </c>
      <c r="E163" t="s">
        <v>25</v>
      </c>
      <c r="F163">
        <v>9</v>
      </c>
      <c r="G163">
        <v>5094</v>
      </c>
      <c r="H163">
        <v>3623.8715999999999</v>
      </c>
      <c r="K163" t="str">
        <f t="shared" si="6"/>
        <v>2.5%</v>
      </c>
      <c r="L163" t="str">
        <f t="shared" si="7"/>
        <v>Need Improvement</v>
      </c>
      <c r="M163" t="b">
        <f>TRUE()</f>
        <v>1</v>
      </c>
      <c r="N163" t="b">
        <f>FALSE()</f>
        <v>0</v>
      </c>
      <c r="O163" s="18" t="b">
        <f t="shared" si="8"/>
        <v>0</v>
      </c>
    </row>
    <row r="164" spans="1:15" x14ac:dyDescent="0.35">
      <c r="A164">
        <v>41803</v>
      </c>
      <c r="B164">
        <v>1274</v>
      </c>
      <c r="C164" t="s">
        <v>26</v>
      </c>
      <c r="D164" t="s">
        <v>24</v>
      </c>
      <c r="E164" t="s">
        <v>25</v>
      </c>
      <c r="F164">
        <v>6</v>
      </c>
      <c r="G164">
        <v>8775</v>
      </c>
      <c r="H164">
        <v>1370.6550000000002</v>
      </c>
      <c r="K164" t="str">
        <f t="shared" si="6"/>
        <v>2.5%</v>
      </c>
      <c r="L164" t="str">
        <f t="shared" si="7"/>
        <v>Need Improvement</v>
      </c>
      <c r="M164" t="b">
        <f>TRUE()</f>
        <v>1</v>
      </c>
      <c r="N164" t="b">
        <f>FALSE()</f>
        <v>0</v>
      </c>
      <c r="O164" s="18" t="b">
        <f t="shared" si="8"/>
        <v>0</v>
      </c>
    </row>
    <row r="165" spans="1:15" x14ac:dyDescent="0.35">
      <c r="A165">
        <v>41804</v>
      </c>
      <c r="B165">
        <v>1275</v>
      </c>
      <c r="C165" t="s">
        <v>27</v>
      </c>
      <c r="D165" t="s">
        <v>24</v>
      </c>
      <c r="E165" t="s">
        <v>28</v>
      </c>
      <c r="F165">
        <v>9</v>
      </c>
      <c r="G165">
        <v>7830</v>
      </c>
      <c r="H165">
        <v>1201.1220000000001</v>
      </c>
      <c r="K165" t="str">
        <f t="shared" si="6"/>
        <v>2.5%</v>
      </c>
      <c r="L165" t="str">
        <f t="shared" si="7"/>
        <v>Need Improvement</v>
      </c>
      <c r="M165" t="b">
        <f>TRUE()</f>
        <v>1</v>
      </c>
      <c r="N165" t="b">
        <f>FALSE()</f>
        <v>0</v>
      </c>
      <c r="O165" s="18" t="b">
        <f t="shared" si="8"/>
        <v>0</v>
      </c>
    </row>
    <row r="166" spans="1:15" x14ac:dyDescent="0.35">
      <c r="A166">
        <v>41805</v>
      </c>
      <c r="B166">
        <v>1276</v>
      </c>
      <c r="C166" t="s">
        <v>23</v>
      </c>
      <c r="D166" t="s">
        <v>24</v>
      </c>
      <c r="E166" t="s">
        <v>28</v>
      </c>
      <c r="F166">
        <v>7</v>
      </c>
      <c r="G166">
        <v>10920</v>
      </c>
      <c r="H166">
        <v>4396.3919999999998</v>
      </c>
      <c r="K166" t="str">
        <f t="shared" si="6"/>
        <v>5%</v>
      </c>
      <c r="L166" t="str">
        <f t="shared" si="7"/>
        <v>Good</v>
      </c>
      <c r="M166" t="b">
        <f>TRUE()</f>
        <v>1</v>
      </c>
      <c r="N166" t="b">
        <f>FALSE()</f>
        <v>0</v>
      </c>
      <c r="O166" s="18" t="b">
        <f t="shared" si="8"/>
        <v>0</v>
      </c>
    </row>
    <row r="167" spans="1:15" x14ac:dyDescent="0.35">
      <c r="A167">
        <v>41806</v>
      </c>
      <c r="B167">
        <v>1277</v>
      </c>
      <c r="C167" t="s">
        <v>26</v>
      </c>
      <c r="D167" t="s">
        <v>24</v>
      </c>
      <c r="E167" t="s">
        <v>28</v>
      </c>
      <c r="F167">
        <v>8</v>
      </c>
      <c r="G167">
        <v>14280</v>
      </c>
      <c r="H167">
        <v>4829.4960000000001</v>
      </c>
      <c r="K167" t="str">
        <f t="shared" si="6"/>
        <v>5%</v>
      </c>
      <c r="L167" t="str">
        <f t="shared" si="7"/>
        <v>Good</v>
      </c>
      <c r="M167" t="b">
        <f>TRUE()</f>
        <v>1</v>
      </c>
      <c r="N167" t="b">
        <f>FALSE()</f>
        <v>0</v>
      </c>
      <c r="O167" s="18" t="b">
        <f t="shared" si="8"/>
        <v>0</v>
      </c>
    </row>
    <row r="168" spans="1:15" x14ac:dyDescent="0.35">
      <c r="A168">
        <v>41807</v>
      </c>
      <c r="B168">
        <v>1278</v>
      </c>
      <c r="C168" t="s">
        <v>27</v>
      </c>
      <c r="D168" t="s">
        <v>24</v>
      </c>
      <c r="E168" t="s">
        <v>29</v>
      </c>
      <c r="F168">
        <v>9</v>
      </c>
      <c r="G168">
        <v>6804</v>
      </c>
      <c r="H168">
        <v>1510.0344</v>
      </c>
      <c r="K168" t="str">
        <f t="shared" si="6"/>
        <v>2.5%</v>
      </c>
      <c r="L168" t="str">
        <f t="shared" si="7"/>
        <v>Need Improvement</v>
      </c>
      <c r="M168" t="b">
        <f>TRUE()</f>
        <v>1</v>
      </c>
      <c r="N168" t="b">
        <f>FALSE()</f>
        <v>0</v>
      </c>
      <c r="O168" s="18" t="b">
        <f t="shared" si="8"/>
        <v>0</v>
      </c>
    </row>
    <row r="169" spans="1:15" x14ac:dyDescent="0.35">
      <c r="A169">
        <v>41808</v>
      </c>
      <c r="B169">
        <v>1279</v>
      </c>
      <c r="C169" t="s">
        <v>23</v>
      </c>
      <c r="D169" t="s">
        <v>24</v>
      </c>
      <c r="E169" t="s">
        <v>29</v>
      </c>
      <c r="F169">
        <v>10</v>
      </c>
      <c r="G169">
        <v>4920</v>
      </c>
      <c r="H169">
        <v>1835.652</v>
      </c>
      <c r="K169" t="str">
        <f t="shared" si="6"/>
        <v>1.5%</v>
      </c>
      <c r="L169" t="str">
        <f t="shared" si="7"/>
        <v>Need Improvement</v>
      </c>
      <c r="M169" t="b">
        <f>TRUE()</f>
        <v>1</v>
      </c>
      <c r="N169" t="b">
        <f>FALSE()</f>
        <v>0</v>
      </c>
      <c r="O169" s="18" t="b">
        <f t="shared" si="8"/>
        <v>0</v>
      </c>
    </row>
    <row r="170" spans="1:15" x14ac:dyDescent="0.35">
      <c r="A170">
        <v>41809</v>
      </c>
      <c r="B170">
        <v>1280</v>
      </c>
      <c r="C170" t="s">
        <v>26</v>
      </c>
      <c r="D170" t="s">
        <v>24</v>
      </c>
      <c r="E170" t="s">
        <v>29</v>
      </c>
      <c r="F170">
        <v>7</v>
      </c>
      <c r="G170">
        <v>1716.75</v>
      </c>
      <c r="H170">
        <v>2249.6292000000003</v>
      </c>
      <c r="K170" t="str">
        <f t="shared" si="6"/>
        <v>1.5%</v>
      </c>
      <c r="L170" t="str">
        <f t="shared" si="7"/>
        <v>Need Improvement</v>
      </c>
      <c r="M170" t="b">
        <f>TRUE()</f>
        <v>1</v>
      </c>
      <c r="N170" t="b">
        <f>FALSE()</f>
        <v>0</v>
      </c>
      <c r="O170" s="18" t="b">
        <f t="shared" si="8"/>
        <v>0</v>
      </c>
    </row>
    <row r="171" spans="1:15" x14ac:dyDescent="0.35">
      <c r="A171">
        <v>41810</v>
      </c>
      <c r="B171">
        <v>1281</v>
      </c>
      <c r="C171" t="s">
        <v>27</v>
      </c>
      <c r="D171" t="s">
        <v>24</v>
      </c>
      <c r="E171" t="s">
        <v>25</v>
      </c>
      <c r="F171">
        <v>10</v>
      </c>
      <c r="G171">
        <v>1680</v>
      </c>
      <c r="H171">
        <v>1224.048</v>
      </c>
      <c r="K171" t="str">
        <f t="shared" si="6"/>
        <v>1.5%</v>
      </c>
      <c r="L171" t="str">
        <f t="shared" si="7"/>
        <v>Need Improvement</v>
      </c>
      <c r="M171" t="b">
        <f>TRUE()</f>
        <v>1</v>
      </c>
      <c r="N171" t="b">
        <f>FALSE()</f>
        <v>0</v>
      </c>
      <c r="O171" s="18" t="b">
        <f t="shared" si="8"/>
        <v>0</v>
      </c>
    </row>
    <row r="172" spans="1:15" x14ac:dyDescent="0.35">
      <c r="A172">
        <v>41811</v>
      </c>
      <c r="B172">
        <v>1282</v>
      </c>
      <c r="C172" t="s">
        <v>23</v>
      </c>
      <c r="D172" t="s">
        <v>24</v>
      </c>
      <c r="E172" t="s">
        <v>25</v>
      </c>
      <c r="F172">
        <v>6</v>
      </c>
      <c r="G172">
        <v>3168</v>
      </c>
      <c r="H172">
        <v>2715.768</v>
      </c>
      <c r="K172" t="str">
        <f t="shared" si="6"/>
        <v>1.5%</v>
      </c>
      <c r="L172" t="str">
        <f t="shared" si="7"/>
        <v>Need Improvement</v>
      </c>
      <c r="M172" t="b">
        <f>TRUE()</f>
        <v>1</v>
      </c>
      <c r="N172" t="b">
        <f>FALSE()</f>
        <v>0</v>
      </c>
      <c r="O172" s="18" t="b">
        <f t="shared" si="8"/>
        <v>0</v>
      </c>
    </row>
    <row r="173" spans="1:15" x14ac:dyDescent="0.35">
      <c r="A173">
        <v>41812</v>
      </c>
      <c r="B173">
        <v>1283</v>
      </c>
      <c r="C173" t="s">
        <v>26</v>
      </c>
      <c r="D173" t="s">
        <v>24</v>
      </c>
      <c r="E173" t="s">
        <v>25</v>
      </c>
      <c r="F173">
        <v>9</v>
      </c>
      <c r="G173">
        <v>5913</v>
      </c>
      <c r="H173">
        <v>2707.3656000000001</v>
      </c>
      <c r="K173" t="str">
        <f t="shared" si="6"/>
        <v>2.5%</v>
      </c>
      <c r="L173" t="str">
        <f t="shared" si="7"/>
        <v>Need Improvement</v>
      </c>
      <c r="M173" t="b">
        <f>TRUE()</f>
        <v>1</v>
      </c>
      <c r="N173" t="b">
        <f>FALSE()</f>
        <v>0</v>
      </c>
      <c r="O173" s="18" t="b">
        <f t="shared" si="8"/>
        <v>0</v>
      </c>
    </row>
    <row r="174" spans="1:15" x14ac:dyDescent="0.35">
      <c r="A174">
        <v>41813</v>
      </c>
      <c r="B174">
        <v>1284</v>
      </c>
      <c r="C174" t="s">
        <v>27</v>
      </c>
      <c r="D174" t="s">
        <v>24</v>
      </c>
      <c r="E174" t="s">
        <v>28</v>
      </c>
      <c r="F174">
        <v>10</v>
      </c>
      <c r="G174">
        <v>2410</v>
      </c>
      <c r="H174">
        <v>2333.8440000000001</v>
      </c>
      <c r="K174" t="str">
        <f t="shared" si="6"/>
        <v>1.5%</v>
      </c>
      <c r="L174" t="str">
        <f t="shared" si="7"/>
        <v>Need Improvement</v>
      </c>
      <c r="M174" t="b">
        <f>TRUE()</f>
        <v>1</v>
      </c>
      <c r="N174" t="b">
        <f>FALSE()</f>
        <v>0</v>
      </c>
      <c r="O174" s="18" t="b">
        <f t="shared" si="8"/>
        <v>0</v>
      </c>
    </row>
    <row r="175" spans="1:15" x14ac:dyDescent="0.35">
      <c r="A175">
        <v>41814</v>
      </c>
      <c r="B175">
        <v>1285</v>
      </c>
      <c r="C175" t="s">
        <v>23</v>
      </c>
      <c r="D175" t="s">
        <v>24</v>
      </c>
      <c r="E175" t="s">
        <v>28</v>
      </c>
      <c r="F175">
        <v>10</v>
      </c>
      <c r="G175">
        <v>11640</v>
      </c>
      <c r="H175">
        <v>3691.0439999999999</v>
      </c>
      <c r="K175" t="str">
        <f t="shared" si="6"/>
        <v>5%</v>
      </c>
      <c r="L175" t="str">
        <f t="shared" si="7"/>
        <v>Good</v>
      </c>
      <c r="M175" t="b">
        <f>TRUE()</f>
        <v>1</v>
      </c>
      <c r="N175" t="b">
        <f>FALSE()</f>
        <v>0</v>
      </c>
      <c r="O175" s="18" t="b">
        <f t="shared" si="8"/>
        <v>0</v>
      </c>
    </row>
    <row r="176" spans="1:15" x14ac:dyDescent="0.35">
      <c r="A176">
        <v>41815</v>
      </c>
      <c r="B176">
        <v>1286</v>
      </c>
      <c r="C176" t="s">
        <v>26</v>
      </c>
      <c r="D176" t="s">
        <v>24</v>
      </c>
      <c r="E176" t="s">
        <v>28</v>
      </c>
      <c r="F176">
        <v>9</v>
      </c>
      <c r="G176">
        <v>2268</v>
      </c>
      <c r="H176">
        <v>1944.5832</v>
      </c>
      <c r="K176" t="str">
        <f t="shared" si="6"/>
        <v>1.5%</v>
      </c>
      <c r="L176" t="str">
        <f t="shared" si="7"/>
        <v>Need Improvement</v>
      </c>
      <c r="M176" t="b">
        <f>TRUE()</f>
        <v>1</v>
      </c>
      <c r="N176" t="b">
        <f>FALSE()</f>
        <v>0</v>
      </c>
      <c r="O176" s="18" t="b">
        <f t="shared" si="8"/>
        <v>0</v>
      </c>
    </row>
    <row r="177" spans="1:15" x14ac:dyDescent="0.35">
      <c r="A177">
        <v>41816</v>
      </c>
      <c r="B177">
        <v>1287</v>
      </c>
      <c r="C177" t="s">
        <v>27</v>
      </c>
      <c r="D177" t="s">
        <v>24</v>
      </c>
      <c r="E177" t="s">
        <v>29</v>
      </c>
      <c r="F177">
        <v>7</v>
      </c>
      <c r="G177">
        <v>10158.75</v>
      </c>
      <c r="H177">
        <v>729.60142499999995</v>
      </c>
      <c r="K177" t="str">
        <f t="shared" si="6"/>
        <v>5%</v>
      </c>
      <c r="L177" t="str">
        <f t="shared" si="7"/>
        <v>Good</v>
      </c>
      <c r="M177" t="b">
        <f>TRUE()</f>
        <v>1</v>
      </c>
      <c r="N177" t="b">
        <f>FALSE()</f>
        <v>0</v>
      </c>
      <c r="O177" s="18" t="b">
        <f t="shared" si="8"/>
        <v>0</v>
      </c>
    </row>
    <row r="178" spans="1:15" x14ac:dyDescent="0.35">
      <c r="A178">
        <v>41817</v>
      </c>
      <c r="B178">
        <v>1288</v>
      </c>
      <c r="C178" t="s">
        <v>23</v>
      </c>
      <c r="D178" t="s">
        <v>24</v>
      </c>
      <c r="E178" t="s">
        <v>29</v>
      </c>
      <c r="F178">
        <v>6</v>
      </c>
      <c r="G178">
        <v>9576</v>
      </c>
      <c r="H178">
        <v>1473.7464</v>
      </c>
      <c r="K178" t="str">
        <f t="shared" si="6"/>
        <v>2.5%</v>
      </c>
      <c r="L178" t="str">
        <f t="shared" si="7"/>
        <v>Need Improvement</v>
      </c>
      <c r="M178" t="b">
        <f>TRUE()</f>
        <v>1</v>
      </c>
      <c r="N178" t="b">
        <f>FALSE()</f>
        <v>0</v>
      </c>
      <c r="O178" s="18" t="b">
        <f t="shared" si="8"/>
        <v>0</v>
      </c>
    </row>
    <row r="179" spans="1:15" x14ac:dyDescent="0.35">
      <c r="A179">
        <v>41818</v>
      </c>
      <c r="B179">
        <v>1289</v>
      </c>
      <c r="C179" t="s">
        <v>26</v>
      </c>
      <c r="D179" t="s">
        <v>24</v>
      </c>
      <c r="E179" t="s">
        <v>29</v>
      </c>
      <c r="F179">
        <v>10</v>
      </c>
      <c r="G179">
        <v>6720</v>
      </c>
      <c r="H179">
        <v>721.952</v>
      </c>
      <c r="K179" t="str">
        <f t="shared" si="6"/>
        <v>2.5%</v>
      </c>
      <c r="L179" t="str">
        <f t="shared" si="7"/>
        <v>Need Improvement</v>
      </c>
      <c r="M179" t="b">
        <f>TRUE()</f>
        <v>1</v>
      </c>
      <c r="N179" t="b">
        <f>FALSE()</f>
        <v>0</v>
      </c>
      <c r="O179" s="18" t="b">
        <f t="shared" si="8"/>
        <v>0</v>
      </c>
    </row>
    <row r="180" spans="1:15" x14ac:dyDescent="0.35">
      <c r="A180">
        <v>41819</v>
      </c>
      <c r="B180">
        <v>1290</v>
      </c>
      <c r="C180" t="s">
        <v>27</v>
      </c>
      <c r="D180" t="s">
        <v>24</v>
      </c>
      <c r="E180" t="s">
        <v>25</v>
      </c>
      <c r="F180">
        <v>7</v>
      </c>
      <c r="G180">
        <v>1701</v>
      </c>
      <c r="H180">
        <v>2878.7723999999998</v>
      </c>
      <c r="K180" t="str">
        <f t="shared" si="6"/>
        <v>1.5%</v>
      </c>
      <c r="L180" t="str">
        <f t="shared" si="7"/>
        <v>Need Improvement</v>
      </c>
      <c r="M180" t="b">
        <f>TRUE()</f>
        <v>1</v>
      </c>
      <c r="N180" t="b">
        <f>FALSE()</f>
        <v>0</v>
      </c>
      <c r="O180" s="18" t="b">
        <f t="shared" si="8"/>
        <v>0</v>
      </c>
    </row>
    <row r="181" spans="1:15" x14ac:dyDescent="0.35">
      <c r="A181">
        <v>41820</v>
      </c>
      <c r="B181">
        <v>1291</v>
      </c>
      <c r="C181" t="s">
        <v>23</v>
      </c>
      <c r="D181" t="s">
        <v>24</v>
      </c>
      <c r="E181" t="s">
        <v>25</v>
      </c>
      <c r="F181">
        <v>10</v>
      </c>
      <c r="G181">
        <v>4800</v>
      </c>
      <c r="H181">
        <v>3392.6399999999994</v>
      </c>
      <c r="K181" t="str">
        <f t="shared" si="6"/>
        <v>1.5%</v>
      </c>
      <c r="L181" t="str">
        <f t="shared" si="7"/>
        <v>Need Improvement</v>
      </c>
      <c r="M181" t="b">
        <f>TRUE()</f>
        <v>1</v>
      </c>
      <c r="N181" t="b">
        <f>FALSE()</f>
        <v>0</v>
      </c>
      <c r="O181" s="18" t="b">
        <f t="shared" si="8"/>
        <v>0</v>
      </c>
    </row>
    <row r="182" spans="1:15" x14ac:dyDescent="0.35">
      <c r="A182">
        <v>41821</v>
      </c>
      <c r="B182">
        <v>1292</v>
      </c>
      <c r="C182" t="s">
        <v>26</v>
      </c>
      <c r="D182" t="s">
        <v>24</v>
      </c>
      <c r="E182" t="s">
        <v>25</v>
      </c>
      <c r="F182">
        <v>9</v>
      </c>
      <c r="G182">
        <v>7938</v>
      </c>
      <c r="H182">
        <v>5806.6470000000008</v>
      </c>
      <c r="K182" t="str">
        <f t="shared" si="6"/>
        <v>2.5%</v>
      </c>
      <c r="L182" t="str">
        <f t="shared" si="7"/>
        <v>Good</v>
      </c>
      <c r="M182" t="b">
        <f>TRUE()</f>
        <v>1</v>
      </c>
      <c r="N182" t="b">
        <f>FALSE()</f>
        <v>0</v>
      </c>
      <c r="O182" s="18" t="b">
        <f t="shared" si="8"/>
        <v>0</v>
      </c>
    </row>
    <row r="183" spans="1:15" x14ac:dyDescent="0.35">
      <c r="A183">
        <v>41822</v>
      </c>
      <c r="B183">
        <v>1293</v>
      </c>
      <c r="C183" t="s">
        <v>27</v>
      </c>
      <c r="D183" t="s">
        <v>24</v>
      </c>
      <c r="E183" t="s">
        <v>28</v>
      </c>
      <c r="F183">
        <v>7</v>
      </c>
      <c r="G183">
        <v>11025</v>
      </c>
      <c r="H183">
        <v>3356.01</v>
      </c>
      <c r="K183" t="str">
        <f t="shared" si="6"/>
        <v>5%</v>
      </c>
      <c r="L183" t="str">
        <f t="shared" si="7"/>
        <v>Good</v>
      </c>
      <c r="M183" t="b">
        <f>TRUE()</f>
        <v>1</v>
      </c>
      <c r="N183" t="b">
        <f>FALSE()</f>
        <v>0</v>
      </c>
      <c r="O183" s="18" t="b">
        <f t="shared" si="8"/>
        <v>0</v>
      </c>
    </row>
    <row r="184" spans="1:15" x14ac:dyDescent="0.35">
      <c r="A184">
        <v>41823</v>
      </c>
      <c r="B184">
        <v>1294</v>
      </c>
      <c r="C184" t="s">
        <v>23</v>
      </c>
      <c r="D184" t="s">
        <v>24</v>
      </c>
      <c r="E184" t="s">
        <v>28</v>
      </c>
      <c r="F184">
        <v>10</v>
      </c>
      <c r="G184">
        <v>11840</v>
      </c>
      <c r="H184">
        <v>4792.8320000000003</v>
      </c>
      <c r="K184" t="str">
        <f t="shared" si="6"/>
        <v>5%</v>
      </c>
      <c r="L184" t="str">
        <f t="shared" si="7"/>
        <v>Good</v>
      </c>
      <c r="M184" t="b">
        <f>TRUE()</f>
        <v>1</v>
      </c>
      <c r="N184" t="b">
        <f>FALSE()</f>
        <v>0</v>
      </c>
      <c r="O184" s="18" t="b">
        <f t="shared" si="8"/>
        <v>0</v>
      </c>
    </row>
    <row r="185" spans="1:15" x14ac:dyDescent="0.35">
      <c r="A185">
        <v>41824</v>
      </c>
      <c r="B185">
        <v>1295</v>
      </c>
      <c r="C185" t="s">
        <v>26</v>
      </c>
      <c r="D185" t="s">
        <v>24</v>
      </c>
      <c r="E185" t="s">
        <v>28</v>
      </c>
      <c r="F185">
        <v>8</v>
      </c>
      <c r="G185">
        <v>4536</v>
      </c>
      <c r="H185">
        <v>3642.4079999999999</v>
      </c>
      <c r="K185" t="str">
        <f t="shared" si="6"/>
        <v>1.5%</v>
      </c>
      <c r="L185" t="str">
        <f t="shared" si="7"/>
        <v>Need Improvement</v>
      </c>
      <c r="M185" t="b">
        <f>TRUE()</f>
        <v>1</v>
      </c>
      <c r="N185" t="b">
        <f>FALSE()</f>
        <v>0</v>
      </c>
      <c r="O185" s="18" t="b">
        <f t="shared" si="8"/>
        <v>0</v>
      </c>
    </row>
    <row r="186" spans="1:15" x14ac:dyDescent="0.35">
      <c r="A186">
        <v>41825</v>
      </c>
      <c r="B186">
        <v>1296</v>
      </c>
      <c r="C186" t="s">
        <v>27</v>
      </c>
      <c r="D186" t="s">
        <v>24</v>
      </c>
      <c r="E186" t="s">
        <v>29</v>
      </c>
      <c r="F186">
        <v>10</v>
      </c>
      <c r="G186">
        <v>5040</v>
      </c>
      <c r="H186">
        <v>3469.5360000000001</v>
      </c>
      <c r="K186" t="str">
        <f t="shared" si="6"/>
        <v>2.5%</v>
      </c>
      <c r="L186" t="str">
        <f t="shared" si="7"/>
        <v>Need Improvement</v>
      </c>
      <c r="M186" t="b">
        <f>TRUE()</f>
        <v>1</v>
      </c>
      <c r="N186" t="b">
        <f>FALSE()</f>
        <v>0</v>
      </c>
      <c r="O186" s="18" t="b">
        <f t="shared" si="8"/>
        <v>0</v>
      </c>
    </row>
    <row r="187" spans="1:15" x14ac:dyDescent="0.35">
      <c r="A187">
        <v>41826</v>
      </c>
      <c r="B187">
        <v>1297</v>
      </c>
      <c r="C187" t="s">
        <v>23</v>
      </c>
      <c r="D187" t="s">
        <v>24</v>
      </c>
      <c r="E187" t="s">
        <v>29</v>
      </c>
      <c r="F187">
        <v>9</v>
      </c>
      <c r="G187">
        <v>6156</v>
      </c>
      <c r="H187">
        <v>1305.6876000000002</v>
      </c>
      <c r="K187" t="str">
        <f t="shared" si="6"/>
        <v>2.5%</v>
      </c>
      <c r="L187" t="str">
        <f t="shared" si="7"/>
        <v>Need Improvement</v>
      </c>
      <c r="M187" t="b">
        <f>TRUE()</f>
        <v>1</v>
      </c>
      <c r="N187" t="b">
        <f>FALSE()</f>
        <v>0</v>
      </c>
      <c r="O187" s="18" t="b">
        <f t="shared" si="8"/>
        <v>0</v>
      </c>
    </row>
    <row r="188" spans="1:15" x14ac:dyDescent="0.35">
      <c r="A188">
        <v>41827</v>
      </c>
      <c r="B188">
        <v>1298</v>
      </c>
      <c r="C188" t="s">
        <v>26</v>
      </c>
      <c r="D188" t="s">
        <v>24</v>
      </c>
      <c r="E188" t="s">
        <v>29</v>
      </c>
      <c r="F188">
        <v>8</v>
      </c>
      <c r="G188">
        <v>3960</v>
      </c>
      <c r="H188">
        <v>647.26200000000006</v>
      </c>
      <c r="K188" t="str">
        <f t="shared" si="6"/>
        <v>1.5%</v>
      </c>
      <c r="L188" t="str">
        <f t="shared" si="7"/>
        <v>Need Improvement</v>
      </c>
      <c r="M188" t="b">
        <f>TRUE()</f>
        <v>1</v>
      </c>
      <c r="N188" t="b">
        <f>FALSE()</f>
        <v>0</v>
      </c>
      <c r="O188" s="18" t="b">
        <f t="shared" si="8"/>
        <v>0</v>
      </c>
    </row>
    <row r="189" spans="1:15" x14ac:dyDescent="0.35">
      <c r="A189">
        <v>41828</v>
      </c>
      <c r="B189">
        <v>1299</v>
      </c>
      <c r="C189" t="s">
        <v>27</v>
      </c>
      <c r="D189" t="s">
        <v>24</v>
      </c>
      <c r="E189" t="s">
        <v>25</v>
      </c>
      <c r="F189">
        <v>10</v>
      </c>
      <c r="G189">
        <v>5680</v>
      </c>
      <c r="H189">
        <v>2225.9920000000002</v>
      </c>
      <c r="K189" t="str">
        <f t="shared" si="6"/>
        <v>2.5%</v>
      </c>
      <c r="L189" t="str">
        <f t="shared" si="7"/>
        <v>Need Improvement</v>
      </c>
      <c r="M189" t="b">
        <f>TRUE()</f>
        <v>1</v>
      </c>
      <c r="N189" t="b">
        <f>FALSE()</f>
        <v>0</v>
      </c>
      <c r="O189" s="18" t="b">
        <f t="shared" si="8"/>
        <v>0</v>
      </c>
    </row>
    <row r="190" spans="1:15" x14ac:dyDescent="0.35">
      <c r="A190">
        <v>41829</v>
      </c>
      <c r="B190">
        <v>1300</v>
      </c>
      <c r="C190" t="s">
        <v>23</v>
      </c>
      <c r="D190" t="s">
        <v>24</v>
      </c>
      <c r="E190" t="s">
        <v>25</v>
      </c>
      <c r="F190">
        <v>8</v>
      </c>
      <c r="G190">
        <v>7680</v>
      </c>
      <c r="H190">
        <v>1638.5280000000002</v>
      </c>
      <c r="K190" t="str">
        <f t="shared" si="6"/>
        <v>2.5%</v>
      </c>
      <c r="L190" t="str">
        <f t="shared" si="7"/>
        <v>Need Improvement</v>
      </c>
      <c r="M190" t="b">
        <f>TRUE()</f>
        <v>1</v>
      </c>
      <c r="N190" t="b">
        <f>FALSE()</f>
        <v>0</v>
      </c>
      <c r="O190" s="18" t="b">
        <f t="shared" si="8"/>
        <v>0</v>
      </c>
    </row>
    <row r="191" spans="1:15" x14ac:dyDescent="0.35">
      <c r="A191">
        <v>40909</v>
      </c>
      <c r="B191">
        <v>1301</v>
      </c>
      <c r="C191" t="s">
        <v>26</v>
      </c>
      <c r="D191" t="s">
        <v>30</v>
      </c>
      <c r="E191" t="s">
        <v>25</v>
      </c>
      <c r="F191">
        <v>7</v>
      </c>
      <c r="G191">
        <v>4998</v>
      </c>
      <c r="H191">
        <v>2362.3046999999997</v>
      </c>
      <c r="K191" t="str">
        <f t="shared" si="6"/>
        <v>1.5%</v>
      </c>
      <c r="L191" t="str">
        <f t="shared" si="7"/>
        <v>Need Improvement</v>
      </c>
      <c r="M191" t="b">
        <f>TRUE()</f>
        <v>1</v>
      </c>
      <c r="N191" t="b">
        <f>FALSE()</f>
        <v>0</v>
      </c>
      <c r="O191" s="18" t="b">
        <f t="shared" si="8"/>
        <v>0</v>
      </c>
    </row>
    <row r="192" spans="1:15" x14ac:dyDescent="0.35">
      <c r="A192">
        <v>40910</v>
      </c>
      <c r="B192">
        <v>1302</v>
      </c>
      <c r="C192" t="s">
        <v>27</v>
      </c>
      <c r="D192" t="s">
        <v>30</v>
      </c>
      <c r="E192" t="s">
        <v>28</v>
      </c>
      <c r="F192">
        <v>7</v>
      </c>
      <c r="G192">
        <v>2152.5</v>
      </c>
      <c r="H192">
        <v>1987.6185000000003</v>
      </c>
      <c r="K192" t="str">
        <f t="shared" si="6"/>
        <v>1.5%</v>
      </c>
      <c r="L192" t="str">
        <f t="shared" si="7"/>
        <v>Need Improvement</v>
      </c>
      <c r="M192" t="b">
        <f>TRUE()</f>
        <v>1</v>
      </c>
      <c r="N192" t="b">
        <f>FALSE()</f>
        <v>0</v>
      </c>
      <c r="O192" s="18" t="b">
        <f t="shared" si="8"/>
        <v>0</v>
      </c>
    </row>
    <row r="193" spans="1:15" x14ac:dyDescent="0.35">
      <c r="A193">
        <v>40911</v>
      </c>
      <c r="B193">
        <v>1303</v>
      </c>
      <c r="C193" t="s">
        <v>23</v>
      </c>
      <c r="D193" t="s">
        <v>30</v>
      </c>
      <c r="E193" t="s">
        <v>28</v>
      </c>
      <c r="F193">
        <v>6</v>
      </c>
      <c r="G193">
        <v>6358.5</v>
      </c>
      <c r="H193">
        <v>2738.6059500000001</v>
      </c>
      <c r="K193" t="str">
        <f t="shared" si="6"/>
        <v>2.5%</v>
      </c>
      <c r="L193" t="str">
        <f t="shared" si="7"/>
        <v>Need Improvement</v>
      </c>
      <c r="M193" t="b">
        <f>TRUE()</f>
        <v>1</v>
      </c>
      <c r="N193" t="b">
        <f>FALSE()</f>
        <v>0</v>
      </c>
      <c r="O193" s="18" t="b">
        <f t="shared" si="8"/>
        <v>0</v>
      </c>
    </row>
    <row r="194" spans="1:15" x14ac:dyDescent="0.35">
      <c r="A194">
        <v>40913</v>
      </c>
      <c r="B194">
        <v>1304</v>
      </c>
      <c r="C194" t="s">
        <v>26</v>
      </c>
      <c r="D194" t="s">
        <v>30</v>
      </c>
      <c r="E194" t="s">
        <v>28</v>
      </c>
      <c r="F194">
        <v>9</v>
      </c>
      <c r="G194">
        <v>5292</v>
      </c>
      <c r="H194">
        <v>2858.4737999999998</v>
      </c>
      <c r="K194" t="str">
        <f t="shared" si="6"/>
        <v>2.5%</v>
      </c>
      <c r="L194" t="str">
        <f t="shared" si="7"/>
        <v>Need Improvement</v>
      </c>
      <c r="M194" t="b">
        <f>TRUE()</f>
        <v>1</v>
      </c>
      <c r="N194" t="b">
        <f>FALSE()</f>
        <v>0</v>
      </c>
      <c r="O194" s="18" t="b">
        <f t="shared" si="8"/>
        <v>0</v>
      </c>
    </row>
    <row r="195" spans="1:15" x14ac:dyDescent="0.35">
      <c r="A195">
        <v>40914</v>
      </c>
      <c r="B195">
        <v>1305</v>
      </c>
      <c r="C195" t="s">
        <v>27</v>
      </c>
      <c r="D195" t="s">
        <v>30</v>
      </c>
      <c r="E195" t="s">
        <v>29</v>
      </c>
      <c r="F195">
        <v>10</v>
      </c>
      <c r="G195">
        <v>11000</v>
      </c>
      <c r="H195">
        <v>5031.125</v>
      </c>
      <c r="K195" t="str">
        <f t="shared" ref="K195:K258" si="9">IF(G195&gt;10000,"5%",IF(AND(G195&gt;=5000,G195&lt;10000),"2.5%","1.5%"))</f>
        <v>5%</v>
      </c>
      <c r="L195" t="str">
        <f t="shared" ref="L195:L258" si="10">IF(OR(G195&gt;10000,H195&gt;=5000),"Good","Need Improvement")</f>
        <v>Good</v>
      </c>
      <c r="M195" t="b">
        <f>TRUE()</f>
        <v>1</v>
      </c>
      <c r="N195" t="b">
        <f>FALSE()</f>
        <v>0</v>
      </c>
      <c r="O195" s="18" t="b">
        <f t="shared" ref="O195:O258" si="11">NOT(M195)</f>
        <v>0</v>
      </c>
    </row>
    <row r="196" spans="1:15" x14ac:dyDescent="0.35">
      <c r="A196">
        <v>40915</v>
      </c>
      <c r="B196">
        <v>1306</v>
      </c>
      <c r="C196" t="s">
        <v>23</v>
      </c>
      <c r="D196" t="s">
        <v>30</v>
      </c>
      <c r="E196" t="s">
        <v>29</v>
      </c>
      <c r="F196">
        <v>8</v>
      </c>
      <c r="G196">
        <v>11640</v>
      </c>
      <c r="H196">
        <v>2975.8824</v>
      </c>
      <c r="K196" t="str">
        <f t="shared" si="9"/>
        <v>5%</v>
      </c>
      <c r="L196" t="str">
        <f t="shared" si="10"/>
        <v>Good</v>
      </c>
      <c r="M196" t="b">
        <f>TRUE()</f>
        <v>1</v>
      </c>
      <c r="N196" t="b">
        <f>FALSE()</f>
        <v>0</v>
      </c>
      <c r="O196" s="18" t="b">
        <f t="shared" si="11"/>
        <v>0</v>
      </c>
    </row>
    <row r="197" spans="1:15" x14ac:dyDescent="0.35">
      <c r="A197">
        <v>40916</v>
      </c>
      <c r="B197">
        <v>1307</v>
      </c>
      <c r="C197" t="s">
        <v>26</v>
      </c>
      <c r="D197" t="s">
        <v>30</v>
      </c>
      <c r="E197" t="s">
        <v>29</v>
      </c>
      <c r="F197">
        <v>10</v>
      </c>
      <c r="G197">
        <v>13050</v>
      </c>
      <c r="H197">
        <v>1787.328</v>
      </c>
      <c r="K197" t="str">
        <f t="shared" si="9"/>
        <v>5%</v>
      </c>
      <c r="L197" t="str">
        <f t="shared" si="10"/>
        <v>Good</v>
      </c>
      <c r="M197" t="b">
        <f>TRUE()</f>
        <v>1</v>
      </c>
      <c r="N197" t="b">
        <f>FALSE()</f>
        <v>0</v>
      </c>
      <c r="O197" s="18" t="b">
        <f t="shared" si="11"/>
        <v>0</v>
      </c>
    </row>
    <row r="198" spans="1:15" x14ac:dyDescent="0.35">
      <c r="A198">
        <v>40917</v>
      </c>
      <c r="B198">
        <v>1308</v>
      </c>
      <c r="C198" t="s">
        <v>27</v>
      </c>
      <c r="D198" t="s">
        <v>30</v>
      </c>
      <c r="E198" t="s">
        <v>25</v>
      </c>
      <c r="F198">
        <v>7</v>
      </c>
      <c r="G198">
        <v>7812</v>
      </c>
      <c r="H198">
        <v>1340.5392000000002</v>
      </c>
      <c r="K198" t="str">
        <f t="shared" si="9"/>
        <v>2.5%</v>
      </c>
      <c r="L198" t="str">
        <f t="shared" si="10"/>
        <v>Need Improvement</v>
      </c>
      <c r="M198" t="b">
        <f>TRUE()</f>
        <v>1</v>
      </c>
      <c r="N198" t="b">
        <f>FALSE()</f>
        <v>0</v>
      </c>
      <c r="O198" s="18" t="b">
        <f t="shared" si="11"/>
        <v>0</v>
      </c>
    </row>
    <row r="199" spans="1:15" x14ac:dyDescent="0.35">
      <c r="A199">
        <v>40918</v>
      </c>
      <c r="B199">
        <v>1309</v>
      </c>
      <c r="C199" t="s">
        <v>23</v>
      </c>
      <c r="D199" t="s">
        <v>30</v>
      </c>
      <c r="E199" t="s">
        <v>25</v>
      </c>
      <c r="F199">
        <v>10</v>
      </c>
      <c r="G199">
        <v>14800</v>
      </c>
      <c r="H199">
        <v>5459.7199999999993</v>
      </c>
      <c r="K199" t="str">
        <f t="shared" si="9"/>
        <v>5%</v>
      </c>
      <c r="L199" t="str">
        <f t="shared" si="10"/>
        <v>Good</v>
      </c>
      <c r="M199" t="b">
        <f>TRUE()</f>
        <v>1</v>
      </c>
      <c r="N199" t="b">
        <f>FALSE()</f>
        <v>0</v>
      </c>
      <c r="O199" s="18" t="b">
        <f t="shared" si="11"/>
        <v>0</v>
      </c>
    </row>
    <row r="200" spans="1:15" x14ac:dyDescent="0.35">
      <c r="A200">
        <v>40919</v>
      </c>
      <c r="B200">
        <v>1310</v>
      </c>
      <c r="C200" t="s">
        <v>26</v>
      </c>
      <c r="D200" t="s">
        <v>30</v>
      </c>
      <c r="E200" t="s">
        <v>25</v>
      </c>
      <c r="F200">
        <v>8</v>
      </c>
      <c r="G200">
        <v>13020</v>
      </c>
      <c r="H200">
        <v>4004.9519999999998</v>
      </c>
      <c r="K200" t="str">
        <f t="shared" si="9"/>
        <v>5%</v>
      </c>
      <c r="L200" t="str">
        <f t="shared" si="10"/>
        <v>Good</v>
      </c>
      <c r="M200" t="b">
        <f>TRUE()</f>
        <v>1</v>
      </c>
      <c r="N200" t="b">
        <f>FALSE()</f>
        <v>0</v>
      </c>
      <c r="O200" s="18" t="b">
        <f t="shared" si="11"/>
        <v>0</v>
      </c>
    </row>
    <row r="201" spans="1:15" x14ac:dyDescent="0.35">
      <c r="A201">
        <v>40920</v>
      </c>
      <c r="B201">
        <v>1311</v>
      </c>
      <c r="C201" t="s">
        <v>27</v>
      </c>
      <c r="D201" t="s">
        <v>30</v>
      </c>
      <c r="E201" t="s">
        <v>28</v>
      </c>
      <c r="F201">
        <v>8</v>
      </c>
      <c r="G201">
        <v>9000</v>
      </c>
      <c r="H201">
        <v>688.86</v>
      </c>
      <c r="K201" t="str">
        <f t="shared" si="9"/>
        <v>2.5%</v>
      </c>
      <c r="L201" t="str">
        <f t="shared" si="10"/>
        <v>Need Improvement</v>
      </c>
      <c r="M201" t="b">
        <f>TRUE()</f>
        <v>1</v>
      </c>
      <c r="N201" t="b">
        <f>FALSE()</f>
        <v>0</v>
      </c>
      <c r="O201" s="18" t="b">
        <f t="shared" si="11"/>
        <v>0</v>
      </c>
    </row>
    <row r="202" spans="1:15" x14ac:dyDescent="0.35">
      <c r="A202">
        <v>40921</v>
      </c>
      <c r="B202">
        <v>1312</v>
      </c>
      <c r="C202" t="s">
        <v>23</v>
      </c>
      <c r="D202" t="s">
        <v>30</v>
      </c>
      <c r="E202" t="s">
        <v>28</v>
      </c>
      <c r="F202">
        <v>10</v>
      </c>
      <c r="G202">
        <v>7155</v>
      </c>
      <c r="H202">
        <v>4222.6424999999999</v>
      </c>
      <c r="K202" t="str">
        <f t="shared" si="9"/>
        <v>2.5%</v>
      </c>
      <c r="L202" t="str">
        <f t="shared" si="10"/>
        <v>Need Improvement</v>
      </c>
      <c r="M202" t="b">
        <f>TRUE()</f>
        <v>1</v>
      </c>
      <c r="N202" t="b">
        <f>FALSE()</f>
        <v>0</v>
      </c>
      <c r="O202" s="18" t="b">
        <f t="shared" si="11"/>
        <v>0</v>
      </c>
    </row>
    <row r="203" spans="1:15" x14ac:dyDescent="0.35">
      <c r="A203">
        <v>40922</v>
      </c>
      <c r="B203">
        <v>1313</v>
      </c>
      <c r="C203" t="s">
        <v>26</v>
      </c>
      <c r="D203" t="s">
        <v>30</v>
      </c>
      <c r="E203" t="s">
        <v>28</v>
      </c>
      <c r="F203">
        <v>9</v>
      </c>
      <c r="G203">
        <v>2227.5</v>
      </c>
      <c r="H203">
        <v>962.28</v>
      </c>
      <c r="K203" t="str">
        <f t="shared" si="9"/>
        <v>1.5%</v>
      </c>
      <c r="L203" t="str">
        <f t="shared" si="10"/>
        <v>Need Improvement</v>
      </c>
      <c r="M203" t="b">
        <f>TRUE()</f>
        <v>1</v>
      </c>
      <c r="N203" t="b">
        <f>FALSE()</f>
        <v>0</v>
      </c>
      <c r="O203" s="18" t="b">
        <f t="shared" si="11"/>
        <v>0</v>
      </c>
    </row>
    <row r="204" spans="1:15" x14ac:dyDescent="0.35">
      <c r="A204">
        <v>40923</v>
      </c>
      <c r="B204">
        <v>1314</v>
      </c>
      <c r="C204" t="s">
        <v>27</v>
      </c>
      <c r="D204" t="s">
        <v>30</v>
      </c>
      <c r="E204" t="s">
        <v>29</v>
      </c>
      <c r="F204">
        <v>8</v>
      </c>
      <c r="G204">
        <v>6240</v>
      </c>
      <c r="H204">
        <v>3458</v>
      </c>
      <c r="K204" t="str">
        <f t="shared" si="9"/>
        <v>2.5%</v>
      </c>
      <c r="L204" t="str">
        <f t="shared" si="10"/>
        <v>Need Improvement</v>
      </c>
      <c r="M204" t="b">
        <f>TRUE()</f>
        <v>1</v>
      </c>
      <c r="N204" t="b">
        <f>FALSE()</f>
        <v>0</v>
      </c>
      <c r="O204" s="18" t="b">
        <f t="shared" si="11"/>
        <v>0</v>
      </c>
    </row>
    <row r="205" spans="1:15" x14ac:dyDescent="0.35">
      <c r="A205">
        <v>40924</v>
      </c>
      <c r="B205">
        <v>1315</v>
      </c>
      <c r="C205" t="s">
        <v>23</v>
      </c>
      <c r="D205" t="s">
        <v>30</v>
      </c>
      <c r="E205" t="s">
        <v>29</v>
      </c>
      <c r="F205">
        <v>10</v>
      </c>
      <c r="G205">
        <v>10840</v>
      </c>
      <c r="H205">
        <v>3327.6089999999999</v>
      </c>
      <c r="K205" t="str">
        <f t="shared" si="9"/>
        <v>5%</v>
      </c>
      <c r="L205" t="str">
        <f t="shared" si="10"/>
        <v>Good</v>
      </c>
      <c r="M205" t="b">
        <f>TRUE()</f>
        <v>1</v>
      </c>
      <c r="N205" t="b">
        <f>FALSE()</f>
        <v>0</v>
      </c>
      <c r="O205" s="18" t="b">
        <f t="shared" si="11"/>
        <v>0</v>
      </c>
    </row>
    <row r="206" spans="1:15" x14ac:dyDescent="0.35">
      <c r="A206">
        <v>40925</v>
      </c>
      <c r="B206">
        <v>1316</v>
      </c>
      <c r="C206" t="s">
        <v>26</v>
      </c>
      <c r="D206" t="s">
        <v>30</v>
      </c>
      <c r="E206" t="s">
        <v>29</v>
      </c>
      <c r="F206">
        <v>8</v>
      </c>
      <c r="G206">
        <v>6288</v>
      </c>
      <c r="H206">
        <v>3818.9120000000003</v>
      </c>
      <c r="K206" t="str">
        <f t="shared" si="9"/>
        <v>2.5%</v>
      </c>
      <c r="L206" t="str">
        <f t="shared" si="10"/>
        <v>Need Improvement</v>
      </c>
      <c r="M206" t="b">
        <f>TRUE()</f>
        <v>1</v>
      </c>
      <c r="N206" t="b">
        <f>FALSE()</f>
        <v>0</v>
      </c>
      <c r="O206" s="18" t="b">
        <f t="shared" si="11"/>
        <v>0</v>
      </c>
    </row>
    <row r="207" spans="1:15" x14ac:dyDescent="0.35">
      <c r="A207">
        <v>40926</v>
      </c>
      <c r="B207">
        <v>1317</v>
      </c>
      <c r="C207" t="s">
        <v>27</v>
      </c>
      <c r="D207" t="s">
        <v>30</v>
      </c>
      <c r="E207" t="s">
        <v>25</v>
      </c>
      <c r="F207">
        <v>10</v>
      </c>
      <c r="G207">
        <v>4815</v>
      </c>
      <c r="H207">
        <v>2963.6324999999997</v>
      </c>
      <c r="K207" t="str">
        <f t="shared" si="9"/>
        <v>1.5%</v>
      </c>
      <c r="L207" t="str">
        <f t="shared" si="10"/>
        <v>Need Improvement</v>
      </c>
      <c r="M207" t="b">
        <f>TRUE()</f>
        <v>1</v>
      </c>
      <c r="N207" t="b">
        <f>FALSE()</f>
        <v>0</v>
      </c>
      <c r="O207" s="18" t="b">
        <f t="shared" si="11"/>
        <v>0</v>
      </c>
    </row>
    <row r="208" spans="1:15" x14ac:dyDescent="0.35">
      <c r="A208">
        <v>40927</v>
      </c>
      <c r="B208">
        <v>1318</v>
      </c>
      <c r="C208" t="s">
        <v>23</v>
      </c>
      <c r="D208" t="s">
        <v>30</v>
      </c>
      <c r="E208" t="s">
        <v>25</v>
      </c>
      <c r="F208">
        <v>9</v>
      </c>
      <c r="G208">
        <v>4014</v>
      </c>
      <c r="H208">
        <v>3576.4740000000002</v>
      </c>
      <c r="K208" t="str">
        <f t="shared" si="9"/>
        <v>1.5%</v>
      </c>
      <c r="L208" t="str">
        <f t="shared" si="10"/>
        <v>Need Improvement</v>
      </c>
      <c r="M208" t="b">
        <f>TRUE()</f>
        <v>1</v>
      </c>
      <c r="N208" t="b">
        <f>FALSE()</f>
        <v>0</v>
      </c>
      <c r="O208" s="18" t="b">
        <f t="shared" si="11"/>
        <v>0</v>
      </c>
    </row>
    <row r="209" spans="1:15" x14ac:dyDescent="0.35">
      <c r="A209">
        <v>40928</v>
      </c>
      <c r="B209">
        <v>1319</v>
      </c>
      <c r="C209" t="s">
        <v>26</v>
      </c>
      <c r="D209" t="s">
        <v>30</v>
      </c>
      <c r="E209" t="s">
        <v>25</v>
      </c>
      <c r="F209">
        <v>10</v>
      </c>
      <c r="G209">
        <v>8520</v>
      </c>
      <c r="H209">
        <v>1722.7439999999997</v>
      </c>
      <c r="K209" t="str">
        <f t="shared" si="9"/>
        <v>2.5%</v>
      </c>
      <c r="L209" t="str">
        <f t="shared" si="10"/>
        <v>Need Improvement</v>
      </c>
      <c r="M209" t="b">
        <f>TRUE()</f>
        <v>1</v>
      </c>
      <c r="N209" t="b">
        <f>FALSE()</f>
        <v>0</v>
      </c>
      <c r="O209" s="18" t="b">
        <f t="shared" si="11"/>
        <v>0</v>
      </c>
    </row>
    <row r="210" spans="1:15" x14ac:dyDescent="0.35">
      <c r="A210">
        <v>40929</v>
      </c>
      <c r="B210">
        <v>1320</v>
      </c>
      <c r="C210" t="s">
        <v>27</v>
      </c>
      <c r="D210" t="s">
        <v>30</v>
      </c>
      <c r="E210" t="s">
        <v>28</v>
      </c>
      <c r="F210">
        <v>6</v>
      </c>
      <c r="G210">
        <v>3321</v>
      </c>
      <c r="H210">
        <v>1405.7792999999999</v>
      </c>
      <c r="K210" t="str">
        <f t="shared" si="9"/>
        <v>1.5%</v>
      </c>
      <c r="L210" t="str">
        <f t="shared" si="10"/>
        <v>Need Improvement</v>
      </c>
      <c r="M210" t="b">
        <f>TRUE()</f>
        <v>1</v>
      </c>
      <c r="N210" t="b">
        <f>FALSE()</f>
        <v>0</v>
      </c>
      <c r="O210" s="18" t="b">
        <f t="shared" si="11"/>
        <v>0</v>
      </c>
    </row>
    <row r="211" spans="1:15" x14ac:dyDescent="0.35">
      <c r="A211">
        <v>40930</v>
      </c>
      <c r="B211">
        <v>1321</v>
      </c>
      <c r="C211" t="s">
        <v>23</v>
      </c>
      <c r="D211" t="s">
        <v>30</v>
      </c>
      <c r="E211" t="s">
        <v>28</v>
      </c>
      <c r="F211">
        <v>9</v>
      </c>
      <c r="G211">
        <v>6021</v>
      </c>
      <c r="H211">
        <v>669.33450000000005</v>
      </c>
      <c r="K211" t="str">
        <f t="shared" si="9"/>
        <v>2.5%</v>
      </c>
      <c r="L211" t="str">
        <f t="shared" si="10"/>
        <v>Need Improvement</v>
      </c>
      <c r="M211" t="b">
        <f>TRUE()</f>
        <v>1</v>
      </c>
      <c r="N211" t="b">
        <f>FALSE()</f>
        <v>0</v>
      </c>
      <c r="O211" s="18" t="b">
        <f t="shared" si="11"/>
        <v>0</v>
      </c>
    </row>
    <row r="212" spans="1:15" x14ac:dyDescent="0.35">
      <c r="A212">
        <v>40931</v>
      </c>
      <c r="B212">
        <v>1322</v>
      </c>
      <c r="C212" t="s">
        <v>26</v>
      </c>
      <c r="D212" t="s">
        <v>30</v>
      </c>
      <c r="E212" t="s">
        <v>28</v>
      </c>
      <c r="F212">
        <v>8</v>
      </c>
      <c r="G212">
        <v>3912</v>
      </c>
      <c r="H212">
        <v>3793.6620000000003</v>
      </c>
      <c r="K212" t="str">
        <f t="shared" si="9"/>
        <v>1.5%</v>
      </c>
      <c r="L212" t="str">
        <f t="shared" si="10"/>
        <v>Need Improvement</v>
      </c>
      <c r="M212" t="b">
        <f>TRUE()</f>
        <v>1</v>
      </c>
      <c r="N212" t="b">
        <f>FALSE()</f>
        <v>0</v>
      </c>
      <c r="O212" s="18" t="b">
        <f t="shared" si="11"/>
        <v>0</v>
      </c>
    </row>
    <row r="213" spans="1:15" x14ac:dyDescent="0.35">
      <c r="A213">
        <v>40932</v>
      </c>
      <c r="B213">
        <v>1323</v>
      </c>
      <c r="C213" t="s">
        <v>27</v>
      </c>
      <c r="D213" t="s">
        <v>30</v>
      </c>
      <c r="E213" t="s">
        <v>29</v>
      </c>
      <c r="F213">
        <v>8</v>
      </c>
      <c r="G213">
        <v>5640</v>
      </c>
      <c r="H213">
        <v>4190.5199999999995</v>
      </c>
      <c r="K213" t="str">
        <f t="shared" si="9"/>
        <v>2.5%</v>
      </c>
      <c r="L213" t="str">
        <f t="shared" si="10"/>
        <v>Need Improvement</v>
      </c>
      <c r="M213" t="b">
        <f>TRUE()</f>
        <v>1</v>
      </c>
      <c r="N213" t="b">
        <f>FALSE()</f>
        <v>0</v>
      </c>
      <c r="O213" s="18" t="b">
        <f t="shared" si="11"/>
        <v>0</v>
      </c>
    </row>
    <row r="214" spans="1:15" x14ac:dyDescent="0.35">
      <c r="A214">
        <v>40933</v>
      </c>
      <c r="B214">
        <v>1324</v>
      </c>
      <c r="C214" t="s">
        <v>23</v>
      </c>
      <c r="D214" t="s">
        <v>30</v>
      </c>
      <c r="E214" t="s">
        <v>29</v>
      </c>
      <c r="F214">
        <v>8</v>
      </c>
      <c r="G214">
        <v>2214</v>
      </c>
      <c r="H214">
        <v>3838.1904</v>
      </c>
      <c r="K214" t="str">
        <f t="shared" si="9"/>
        <v>1.5%</v>
      </c>
      <c r="L214" t="str">
        <f t="shared" si="10"/>
        <v>Need Improvement</v>
      </c>
      <c r="M214" t="b">
        <f>TRUE()</f>
        <v>1</v>
      </c>
      <c r="N214" t="b">
        <f>FALSE()</f>
        <v>0</v>
      </c>
      <c r="O214" s="18" t="b">
        <f t="shared" si="11"/>
        <v>0</v>
      </c>
    </row>
    <row r="215" spans="1:15" x14ac:dyDescent="0.35">
      <c r="A215">
        <v>40934</v>
      </c>
      <c r="B215">
        <v>1325</v>
      </c>
      <c r="C215" t="s">
        <v>26</v>
      </c>
      <c r="D215" t="s">
        <v>30</v>
      </c>
      <c r="E215" t="s">
        <v>29</v>
      </c>
      <c r="F215">
        <v>7</v>
      </c>
      <c r="G215">
        <v>4130</v>
      </c>
      <c r="H215">
        <v>3244.5279999999998</v>
      </c>
      <c r="K215" t="str">
        <f t="shared" si="9"/>
        <v>1.5%</v>
      </c>
      <c r="L215" t="str">
        <f t="shared" si="10"/>
        <v>Need Improvement</v>
      </c>
      <c r="M215" t="b">
        <f>TRUE()</f>
        <v>1</v>
      </c>
      <c r="N215" t="b">
        <f>FALSE()</f>
        <v>0</v>
      </c>
      <c r="O215" s="18" t="b">
        <f t="shared" si="11"/>
        <v>0</v>
      </c>
    </row>
    <row r="216" spans="1:15" x14ac:dyDescent="0.35">
      <c r="A216">
        <v>40935</v>
      </c>
      <c r="B216">
        <v>1326</v>
      </c>
      <c r="C216" t="s">
        <v>27</v>
      </c>
      <c r="D216" t="s">
        <v>30</v>
      </c>
      <c r="E216" t="s">
        <v>25</v>
      </c>
      <c r="F216">
        <v>10</v>
      </c>
      <c r="G216">
        <v>4995</v>
      </c>
      <c r="H216">
        <v>534.798</v>
      </c>
      <c r="K216" t="str">
        <f t="shared" si="9"/>
        <v>1.5%</v>
      </c>
      <c r="L216" t="str">
        <f t="shared" si="10"/>
        <v>Need Improvement</v>
      </c>
      <c r="M216" t="b">
        <f>TRUE()</f>
        <v>1</v>
      </c>
      <c r="N216" t="b">
        <f>FALSE()</f>
        <v>0</v>
      </c>
      <c r="O216" s="18" t="b">
        <f t="shared" si="11"/>
        <v>0</v>
      </c>
    </row>
    <row r="217" spans="1:15" x14ac:dyDescent="0.35">
      <c r="A217">
        <v>40936</v>
      </c>
      <c r="B217">
        <v>1327</v>
      </c>
      <c r="C217" t="s">
        <v>23</v>
      </c>
      <c r="D217" t="s">
        <v>30</v>
      </c>
      <c r="E217" t="s">
        <v>25</v>
      </c>
      <c r="F217">
        <v>9</v>
      </c>
      <c r="G217">
        <v>8343</v>
      </c>
      <c r="H217">
        <v>1025.9109000000001</v>
      </c>
      <c r="K217" t="str">
        <f t="shared" si="9"/>
        <v>2.5%</v>
      </c>
      <c r="L217" t="str">
        <f t="shared" si="10"/>
        <v>Need Improvement</v>
      </c>
      <c r="M217" t="b">
        <f>TRUE()</f>
        <v>1</v>
      </c>
      <c r="N217" t="b">
        <f>FALSE()</f>
        <v>0</v>
      </c>
      <c r="O217" s="18" t="b">
        <f t="shared" si="11"/>
        <v>0</v>
      </c>
    </row>
    <row r="218" spans="1:15" x14ac:dyDescent="0.35">
      <c r="A218">
        <v>40937</v>
      </c>
      <c r="B218">
        <v>1328</v>
      </c>
      <c r="C218" t="s">
        <v>26</v>
      </c>
      <c r="D218" t="s">
        <v>30</v>
      </c>
      <c r="E218" t="s">
        <v>25</v>
      </c>
      <c r="F218">
        <v>10</v>
      </c>
      <c r="G218">
        <v>5610</v>
      </c>
      <c r="H218">
        <v>6250.9425000000001</v>
      </c>
      <c r="K218" t="str">
        <f t="shared" si="9"/>
        <v>2.5%</v>
      </c>
      <c r="L218" t="str">
        <f t="shared" si="10"/>
        <v>Good</v>
      </c>
      <c r="M218" t="b">
        <f>TRUE()</f>
        <v>1</v>
      </c>
      <c r="N218" t="b">
        <f>FALSE()</f>
        <v>0</v>
      </c>
      <c r="O218" s="18" t="b">
        <f t="shared" si="11"/>
        <v>0</v>
      </c>
    </row>
    <row r="219" spans="1:15" x14ac:dyDescent="0.35">
      <c r="A219">
        <v>40938</v>
      </c>
      <c r="B219">
        <v>1329</v>
      </c>
      <c r="C219" t="s">
        <v>27</v>
      </c>
      <c r="D219" t="s">
        <v>30</v>
      </c>
      <c r="E219" t="s">
        <v>28</v>
      </c>
      <c r="F219">
        <v>9</v>
      </c>
      <c r="G219">
        <v>5022</v>
      </c>
      <c r="H219">
        <v>3887.0280000000002</v>
      </c>
      <c r="K219" t="str">
        <f t="shared" si="9"/>
        <v>2.5%</v>
      </c>
      <c r="L219" t="str">
        <f t="shared" si="10"/>
        <v>Need Improvement</v>
      </c>
      <c r="M219" t="b">
        <f>TRUE()</f>
        <v>1</v>
      </c>
      <c r="N219" t="b">
        <f>FALSE()</f>
        <v>0</v>
      </c>
      <c r="O219" s="18" t="b">
        <f t="shared" si="11"/>
        <v>0</v>
      </c>
    </row>
    <row r="220" spans="1:15" x14ac:dyDescent="0.35">
      <c r="A220">
        <v>40939</v>
      </c>
      <c r="B220">
        <v>1330</v>
      </c>
      <c r="C220" t="s">
        <v>23</v>
      </c>
      <c r="D220" t="s">
        <v>30</v>
      </c>
      <c r="E220" t="s">
        <v>28</v>
      </c>
      <c r="F220">
        <v>6</v>
      </c>
      <c r="G220">
        <v>6426</v>
      </c>
      <c r="H220">
        <v>1378.6982999999998</v>
      </c>
      <c r="K220" t="str">
        <f t="shared" si="9"/>
        <v>2.5%</v>
      </c>
      <c r="L220" t="str">
        <f t="shared" si="10"/>
        <v>Need Improvement</v>
      </c>
      <c r="M220" t="b">
        <f>TRUE()</f>
        <v>1</v>
      </c>
      <c r="N220" t="b">
        <f>FALSE()</f>
        <v>0</v>
      </c>
      <c r="O220" s="18" t="b">
        <f t="shared" si="11"/>
        <v>0</v>
      </c>
    </row>
    <row r="221" spans="1:15" x14ac:dyDescent="0.35">
      <c r="A221">
        <v>40940</v>
      </c>
      <c r="B221">
        <v>1331</v>
      </c>
      <c r="C221" t="s">
        <v>26</v>
      </c>
      <c r="D221" t="s">
        <v>30</v>
      </c>
      <c r="E221" t="s">
        <v>28</v>
      </c>
      <c r="F221">
        <v>9</v>
      </c>
      <c r="G221">
        <v>6682.5</v>
      </c>
      <c r="H221">
        <v>1449.6570000000002</v>
      </c>
      <c r="K221" t="str">
        <f t="shared" si="9"/>
        <v>2.5%</v>
      </c>
      <c r="L221" t="str">
        <f t="shared" si="10"/>
        <v>Need Improvement</v>
      </c>
      <c r="M221" t="b">
        <f>TRUE()</f>
        <v>1</v>
      </c>
      <c r="N221" t="b">
        <f>FALSE()</f>
        <v>0</v>
      </c>
      <c r="O221" s="18" t="b">
        <f t="shared" si="11"/>
        <v>0</v>
      </c>
    </row>
    <row r="222" spans="1:15" x14ac:dyDescent="0.35">
      <c r="A222">
        <v>40941</v>
      </c>
      <c r="B222">
        <v>1332</v>
      </c>
      <c r="C222" t="s">
        <v>27</v>
      </c>
      <c r="D222" t="s">
        <v>30</v>
      </c>
      <c r="E222" t="s">
        <v>29</v>
      </c>
      <c r="F222">
        <v>6</v>
      </c>
      <c r="G222">
        <v>3969</v>
      </c>
      <c r="H222">
        <v>2043.2412000000002</v>
      </c>
      <c r="K222" t="str">
        <f t="shared" si="9"/>
        <v>1.5%</v>
      </c>
      <c r="L222" t="str">
        <f t="shared" si="10"/>
        <v>Need Improvement</v>
      </c>
      <c r="M222" t="b">
        <f>TRUE()</f>
        <v>1</v>
      </c>
      <c r="N222" t="b">
        <f>FALSE()</f>
        <v>0</v>
      </c>
      <c r="O222" s="18" t="b">
        <f t="shared" si="11"/>
        <v>0</v>
      </c>
    </row>
    <row r="223" spans="1:15" x14ac:dyDescent="0.35">
      <c r="A223">
        <v>40942</v>
      </c>
      <c r="B223">
        <v>1333</v>
      </c>
      <c r="C223" t="s">
        <v>23</v>
      </c>
      <c r="D223" t="s">
        <v>30</v>
      </c>
      <c r="E223" t="s">
        <v>29</v>
      </c>
      <c r="F223">
        <v>7</v>
      </c>
      <c r="G223">
        <v>11760</v>
      </c>
      <c r="H223">
        <v>2367.288</v>
      </c>
      <c r="K223" t="str">
        <f t="shared" si="9"/>
        <v>5%</v>
      </c>
      <c r="L223" t="str">
        <f t="shared" si="10"/>
        <v>Good</v>
      </c>
      <c r="M223" t="b">
        <f>TRUE()</f>
        <v>1</v>
      </c>
      <c r="N223" t="b">
        <f>FALSE()</f>
        <v>0</v>
      </c>
      <c r="O223" s="18" t="b">
        <f t="shared" si="11"/>
        <v>0</v>
      </c>
    </row>
    <row r="224" spans="1:15" x14ac:dyDescent="0.35">
      <c r="A224">
        <v>40943</v>
      </c>
      <c r="B224">
        <v>1334</v>
      </c>
      <c r="C224" t="s">
        <v>26</v>
      </c>
      <c r="D224" t="s">
        <v>30</v>
      </c>
      <c r="E224" t="s">
        <v>29</v>
      </c>
      <c r="F224">
        <v>7</v>
      </c>
      <c r="G224">
        <v>2740.5</v>
      </c>
      <c r="H224">
        <v>4873.9792500000003</v>
      </c>
      <c r="K224" t="str">
        <f t="shared" si="9"/>
        <v>1.5%</v>
      </c>
      <c r="L224" t="str">
        <f t="shared" si="10"/>
        <v>Need Improvement</v>
      </c>
      <c r="M224" t="b">
        <f>TRUE()</f>
        <v>1</v>
      </c>
      <c r="N224" t="b">
        <f>FALSE()</f>
        <v>0</v>
      </c>
      <c r="O224" s="18" t="b">
        <f t="shared" si="11"/>
        <v>0</v>
      </c>
    </row>
    <row r="225" spans="1:15" x14ac:dyDescent="0.35">
      <c r="A225">
        <v>40944</v>
      </c>
      <c r="B225">
        <v>1335</v>
      </c>
      <c r="C225" t="s">
        <v>27</v>
      </c>
      <c r="D225" t="s">
        <v>30</v>
      </c>
      <c r="E225" t="s">
        <v>25</v>
      </c>
      <c r="F225">
        <v>9</v>
      </c>
      <c r="G225">
        <v>5292</v>
      </c>
      <c r="H225">
        <v>2046.4163999999998</v>
      </c>
      <c r="K225" t="str">
        <f t="shared" si="9"/>
        <v>2.5%</v>
      </c>
      <c r="L225" t="str">
        <f t="shared" si="10"/>
        <v>Need Improvement</v>
      </c>
      <c r="M225" t="b">
        <f>TRUE()</f>
        <v>1</v>
      </c>
      <c r="N225" t="b">
        <f>FALSE()</f>
        <v>0</v>
      </c>
      <c r="O225" s="18" t="b">
        <f t="shared" si="11"/>
        <v>0</v>
      </c>
    </row>
    <row r="226" spans="1:15" x14ac:dyDescent="0.35">
      <c r="A226">
        <v>40945</v>
      </c>
      <c r="B226">
        <v>1336</v>
      </c>
      <c r="C226" t="s">
        <v>23</v>
      </c>
      <c r="D226" t="s">
        <v>30</v>
      </c>
      <c r="E226" t="s">
        <v>25</v>
      </c>
      <c r="F226">
        <v>8</v>
      </c>
      <c r="G226">
        <v>6264</v>
      </c>
      <c r="H226">
        <v>628.07040000000006</v>
      </c>
      <c r="K226" t="str">
        <f t="shared" si="9"/>
        <v>2.5%</v>
      </c>
      <c r="L226" t="str">
        <f t="shared" si="10"/>
        <v>Need Improvement</v>
      </c>
      <c r="M226" t="b">
        <f>TRUE()</f>
        <v>1</v>
      </c>
      <c r="N226" t="b">
        <f>FALSE()</f>
        <v>0</v>
      </c>
      <c r="O226" s="18" t="b">
        <f t="shared" si="11"/>
        <v>0</v>
      </c>
    </row>
    <row r="227" spans="1:15" x14ac:dyDescent="0.35">
      <c r="A227">
        <v>40946</v>
      </c>
      <c r="B227">
        <v>1337</v>
      </c>
      <c r="C227" t="s">
        <v>26</v>
      </c>
      <c r="D227" t="s">
        <v>30</v>
      </c>
      <c r="E227" t="s">
        <v>25</v>
      </c>
      <c r="F227">
        <v>8</v>
      </c>
      <c r="G227">
        <v>9408</v>
      </c>
      <c r="H227">
        <v>4139.5200000000004</v>
      </c>
      <c r="K227" t="str">
        <f t="shared" si="9"/>
        <v>2.5%</v>
      </c>
      <c r="L227" t="str">
        <f t="shared" si="10"/>
        <v>Need Improvement</v>
      </c>
      <c r="M227" t="b">
        <f>TRUE()</f>
        <v>1</v>
      </c>
      <c r="N227" t="b">
        <f>FALSE()</f>
        <v>0</v>
      </c>
      <c r="O227" s="18" t="b">
        <f t="shared" si="11"/>
        <v>0</v>
      </c>
    </row>
    <row r="228" spans="1:15" x14ac:dyDescent="0.35">
      <c r="A228">
        <v>40947</v>
      </c>
      <c r="B228">
        <v>1338</v>
      </c>
      <c r="C228" t="s">
        <v>27</v>
      </c>
      <c r="D228" t="s">
        <v>30</v>
      </c>
      <c r="E228" t="s">
        <v>28</v>
      </c>
      <c r="F228">
        <v>6</v>
      </c>
      <c r="G228">
        <v>12465</v>
      </c>
      <c r="H228">
        <v>2678.9778000000001</v>
      </c>
      <c r="K228" t="str">
        <f t="shared" si="9"/>
        <v>5%</v>
      </c>
      <c r="L228" t="str">
        <f t="shared" si="10"/>
        <v>Good</v>
      </c>
      <c r="M228" t="b">
        <f>TRUE()</f>
        <v>1</v>
      </c>
      <c r="N228" t="b">
        <f>FALSE()</f>
        <v>0</v>
      </c>
      <c r="O228" s="18" t="b">
        <f t="shared" si="11"/>
        <v>0</v>
      </c>
    </row>
    <row r="229" spans="1:15" x14ac:dyDescent="0.35">
      <c r="A229">
        <v>40948</v>
      </c>
      <c r="B229">
        <v>1339</v>
      </c>
      <c r="C229" t="s">
        <v>23</v>
      </c>
      <c r="D229" t="s">
        <v>30</v>
      </c>
      <c r="E229" t="s">
        <v>28</v>
      </c>
      <c r="F229">
        <v>6</v>
      </c>
      <c r="G229">
        <v>6075</v>
      </c>
      <c r="H229">
        <v>1844.37</v>
      </c>
      <c r="K229" t="str">
        <f t="shared" si="9"/>
        <v>2.5%</v>
      </c>
      <c r="L229" t="str">
        <f t="shared" si="10"/>
        <v>Need Improvement</v>
      </c>
      <c r="M229" t="b">
        <f>TRUE()</f>
        <v>1</v>
      </c>
      <c r="N229" t="b">
        <f>FALSE()</f>
        <v>0</v>
      </c>
      <c r="O229" s="18" t="b">
        <f t="shared" si="11"/>
        <v>0</v>
      </c>
    </row>
    <row r="230" spans="1:15" x14ac:dyDescent="0.35">
      <c r="A230">
        <v>40949</v>
      </c>
      <c r="B230">
        <v>1340</v>
      </c>
      <c r="C230" t="s">
        <v>26</v>
      </c>
      <c r="D230" t="s">
        <v>30</v>
      </c>
      <c r="E230" t="s">
        <v>28</v>
      </c>
      <c r="F230">
        <v>7</v>
      </c>
      <c r="G230">
        <v>5922</v>
      </c>
      <c r="H230">
        <v>2894.6735999999996</v>
      </c>
      <c r="K230" t="str">
        <f t="shared" si="9"/>
        <v>2.5%</v>
      </c>
      <c r="L230" t="str">
        <f t="shared" si="10"/>
        <v>Need Improvement</v>
      </c>
      <c r="M230" t="b">
        <f>TRUE()</f>
        <v>1</v>
      </c>
      <c r="N230" t="b">
        <f>FALSE()</f>
        <v>0</v>
      </c>
      <c r="O230" s="18" t="b">
        <f t="shared" si="11"/>
        <v>0</v>
      </c>
    </row>
    <row r="231" spans="1:15" x14ac:dyDescent="0.35">
      <c r="A231">
        <v>40950</v>
      </c>
      <c r="B231">
        <v>1341</v>
      </c>
      <c r="C231" t="s">
        <v>27</v>
      </c>
      <c r="D231" t="s">
        <v>30</v>
      </c>
      <c r="E231" t="s">
        <v>29</v>
      </c>
      <c r="F231">
        <v>6</v>
      </c>
      <c r="G231">
        <v>8325</v>
      </c>
      <c r="H231">
        <v>614.8845</v>
      </c>
      <c r="K231" t="str">
        <f t="shared" si="9"/>
        <v>2.5%</v>
      </c>
      <c r="L231" t="str">
        <f t="shared" si="10"/>
        <v>Need Improvement</v>
      </c>
      <c r="M231" t="b">
        <f>TRUE()</f>
        <v>1</v>
      </c>
      <c r="N231" t="b">
        <f>FALSE()</f>
        <v>0</v>
      </c>
      <c r="O231" s="18" t="b">
        <f t="shared" si="11"/>
        <v>0</v>
      </c>
    </row>
    <row r="232" spans="1:15" x14ac:dyDescent="0.35">
      <c r="A232">
        <v>40951</v>
      </c>
      <c r="B232">
        <v>1342</v>
      </c>
      <c r="C232" t="s">
        <v>23</v>
      </c>
      <c r="D232" t="s">
        <v>30</v>
      </c>
      <c r="E232" t="s">
        <v>29</v>
      </c>
      <c r="F232">
        <v>10</v>
      </c>
      <c r="G232">
        <v>2020</v>
      </c>
      <c r="H232">
        <v>1382.8920000000001</v>
      </c>
      <c r="K232" t="str">
        <f t="shared" si="9"/>
        <v>1.5%</v>
      </c>
      <c r="L232" t="str">
        <f t="shared" si="10"/>
        <v>Need Improvement</v>
      </c>
      <c r="M232" t="b">
        <f>TRUE()</f>
        <v>1</v>
      </c>
      <c r="N232" t="b">
        <f>FALSE()</f>
        <v>0</v>
      </c>
      <c r="O232" s="18" t="b">
        <f t="shared" si="11"/>
        <v>0</v>
      </c>
    </row>
    <row r="233" spans="1:15" x14ac:dyDescent="0.35">
      <c r="A233">
        <v>40952</v>
      </c>
      <c r="B233">
        <v>1343</v>
      </c>
      <c r="C233" t="s">
        <v>26</v>
      </c>
      <c r="D233" t="s">
        <v>30</v>
      </c>
      <c r="E233" t="s">
        <v>29</v>
      </c>
      <c r="F233">
        <v>7</v>
      </c>
      <c r="G233">
        <v>3801</v>
      </c>
      <c r="H233">
        <v>2510.9405999999999</v>
      </c>
      <c r="K233" t="str">
        <f t="shared" si="9"/>
        <v>1.5%</v>
      </c>
      <c r="L233" t="str">
        <f t="shared" si="10"/>
        <v>Need Improvement</v>
      </c>
      <c r="M233" t="b">
        <f>TRUE()</f>
        <v>1</v>
      </c>
      <c r="N233" t="b">
        <f>FALSE()</f>
        <v>0</v>
      </c>
      <c r="O233" s="18" t="b">
        <f t="shared" si="11"/>
        <v>0</v>
      </c>
    </row>
    <row r="234" spans="1:15" x14ac:dyDescent="0.35">
      <c r="A234">
        <v>40953</v>
      </c>
      <c r="B234">
        <v>1344</v>
      </c>
      <c r="C234" t="s">
        <v>27</v>
      </c>
      <c r="D234" t="s">
        <v>30</v>
      </c>
      <c r="E234" t="s">
        <v>25</v>
      </c>
      <c r="F234">
        <v>8</v>
      </c>
      <c r="G234">
        <v>5568</v>
      </c>
      <c r="H234">
        <v>1955.4816000000001</v>
      </c>
      <c r="K234" t="str">
        <f t="shared" si="9"/>
        <v>2.5%</v>
      </c>
      <c r="L234" t="str">
        <f t="shared" si="10"/>
        <v>Need Improvement</v>
      </c>
      <c r="M234" t="b">
        <f>TRUE()</f>
        <v>1</v>
      </c>
      <c r="N234" t="b">
        <f>FALSE()</f>
        <v>0</v>
      </c>
      <c r="O234" s="18" t="b">
        <f t="shared" si="11"/>
        <v>0</v>
      </c>
    </row>
    <row r="235" spans="1:15" x14ac:dyDescent="0.35">
      <c r="A235">
        <v>40954</v>
      </c>
      <c r="B235">
        <v>1345</v>
      </c>
      <c r="C235" t="s">
        <v>23</v>
      </c>
      <c r="D235" t="s">
        <v>30</v>
      </c>
      <c r="E235" t="s">
        <v>25</v>
      </c>
      <c r="F235">
        <v>8</v>
      </c>
      <c r="G235">
        <v>5292</v>
      </c>
      <c r="H235">
        <v>3085.2359999999999</v>
      </c>
      <c r="K235" t="str">
        <f t="shared" si="9"/>
        <v>2.5%</v>
      </c>
      <c r="L235" t="str">
        <f t="shared" si="10"/>
        <v>Need Improvement</v>
      </c>
      <c r="M235" t="b">
        <f>TRUE()</f>
        <v>1</v>
      </c>
      <c r="N235" t="b">
        <f>FALSE()</f>
        <v>0</v>
      </c>
      <c r="O235" s="18" t="b">
        <f t="shared" si="11"/>
        <v>0</v>
      </c>
    </row>
    <row r="236" spans="1:15" x14ac:dyDescent="0.35">
      <c r="A236">
        <v>40955</v>
      </c>
      <c r="B236">
        <v>1346</v>
      </c>
      <c r="C236" t="s">
        <v>26</v>
      </c>
      <c r="D236" t="s">
        <v>30</v>
      </c>
      <c r="E236" t="s">
        <v>25</v>
      </c>
      <c r="F236">
        <v>10</v>
      </c>
      <c r="G236">
        <v>6540</v>
      </c>
      <c r="H236">
        <v>1282.1669999999999</v>
      </c>
      <c r="K236" t="str">
        <f t="shared" si="9"/>
        <v>2.5%</v>
      </c>
      <c r="L236" t="str">
        <f t="shared" si="10"/>
        <v>Need Improvement</v>
      </c>
      <c r="M236" t="b">
        <f>TRUE()</f>
        <v>1</v>
      </c>
      <c r="N236" t="b">
        <f>FALSE()</f>
        <v>0</v>
      </c>
      <c r="O236" s="18" t="b">
        <f t="shared" si="11"/>
        <v>0</v>
      </c>
    </row>
    <row r="237" spans="1:15" x14ac:dyDescent="0.35">
      <c r="A237">
        <v>40956</v>
      </c>
      <c r="B237">
        <v>1347</v>
      </c>
      <c r="C237" t="s">
        <v>27</v>
      </c>
      <c r="D237" t="s">
        <v>30</v>
      </c>
      <c r="E237" t="s">
        <v>28</v>
      </c>
      <c r="F237">
        <v>10</v>
      </c>
      <c r="G237">
        <v>7920</v>
      </c>
      <c r="H237">
        <v>3198.8879999999999</v>
      </c>
      <c r="K237" t="str">
        <f t="shared" si="9"/>
        <v>2.5%</v>
      </c>
      <c r="L237" t="str">
        <f t="shared" si="10"/>
        <v>Need Improvement</v>
      </c>
      <c r="M237" t="b">
        <f>TRUE()</f>
        <v>1</v>
      </c>
      <c r="N237" t="b">
        <f>FALSE()</f>
        <v>0</v>
      </c>
      <c r="O237" s="18" t="b">
        <f t="shared" si="11"/>
        <v>0</v>
      </c>
    </row>
    <row r="238" spans="1:15" x14ac:dyDescent="0.35">
      <c r="A238">
        <v>40957</v>
      </c>
      <c r="B238">
        <v>1348</v>
      </c>
      <c r="C238" t="s">
        <v>23</v>
      </c>
      <c r="D238" t="s">
        <v>30</v>
      </c>
      <c r="E238" t="s">
        <v>28</v>
      </c>
      <c r="F238">
        <v>10</v>
      </c>
      <c r="G238">
        <v>2280</v>
      </c>
      <c r="H238">
        <v>2978.136</v>
      </c>
      <c r="K238" t="str">
        <f t="shared" si="9"/>
        <v>1.5%</v>
      </c>
      <c r="L238" t="str">
        <f t="shared" si="10"/>
        <v>Need Improvement</v>
      </c>
      <c r="M238" t="b">
        <f>TRUE()</f>
        <v>1</v>
      </c>
      <c r="N238" t="b">
        <f>FALSE()</f>
        <v>0</v>
      </c>
      <c r="O238" s="18" t="b">
        <f t="shared" si="11"/>
        <v>0</v>
      </c>
    </row>
    <row r="239" spans="1:15" x14ac:dyDescent="0.35">
      <c r="A239">
        <v>40958</v>
      </c>
      <c r="B239">
        <v>1349</v>
      </c>
      <c r="C239" t="s">
        <v>26</v>
      </c>
      <c r="D239" t="s">
        <v>30</v>
      </c>
      <c r="E239" t="s">
        <v>28</v>
      </c>
      <c r="F239">
        <v>7</v>
      </c>
      <c r="G239">
        <v>8741.25</v>
      </c>
      <c r="H239">
        <v>1502.7957000000001</v>
      </c>
      <c r="K239" t="str">
        <f t="shared" si="9"/>
        <v>2.5%</v>
      </c>
      <c r="L239" t="str">
        <f t="shared" si="10"/>
        <v>Need Improvement</v>
      </c>
      <c r="M239" t="b">
        <f>TRUE()</f>
        <v>1</v>
      </c>
      <c r="N239" t="b">
        <f>FALSE()</f>
        <v>0</v>
      </c>
      <c r="O239" s="18" t="b">
        <f t="shared" si="11"/>
        <v>0</v>
      </c>
    </row>
    <row r="240" spans="1:15" x14ac:dyDescent="0.35">
      <c r="A240">
        <v>40959</v>
      </c>
      <c r="B240">
        <v>1350</v>
      </c>
      <c r="C240" t="s">
        <v>27</v>
      </c>
      <c r="D240" t="s">
        <v>30</v>
      </c>
      <c r="E240" t="s">
        <v>29</v>
      </c>
      <c r="F240">
        <v>6</v>
      </c>
      <c r="G240">
        <v>3168</v>
      </c>
      <c r="H240">
        <v>2526.7968000000001</v>
      </c>
      <c r="K240" t="str">
        <f t="shared" si="9"/>
        <v>1.5%</v>
      </c>
      <c r="L240" t="str">
        <f t="shared" si="10"/>
        <v>Need Improvement</v>
      </c>
      <c r="M240" t="b">
        <f>TRUE()</f>
        <v>1</v>
      </c>
      <c r="N240" t="b">
        <f>FALSE()</f>
        <v>0</v>
      </c>
      <c r="O240" s="18" t="b">
        <f t="shared" si="11"/>
        <v>0</v>
      </c>
    </row>
    <row r="241" spans="1:15" x14ac:dyDescent="0.35">
      <c r="A241">
        <v>40960</v>
      </c>
      <c r="B241">
        <v>1351</v>
      </c>
      <c r="C241" t="s">
        <v>23</v>
      </c>
      <c r="D241" t="s">
        <v>30</v>
      </c>
      <c r="E241" t="s">
        <v>29</v>
      </c>
      <c r="F241">
        <v>6</v>
      </c>
      <c r="G241">
        <v>11475</v>
      </c>
      <c r="H241">
        <v>4240.0125000000007</v>
      </c>
      <c r="K241" t="str">
        <f t="shared" si="9"/>
        <v>5%</v>
      </c>
      <c r="L241" t="str">
        <f t="shared" si="10"/>
        <v>Good</v>
      </c>
      <c r="M241" t="b">
        <f>TRUE()</f>
        <v>1</v>
      </c>
      <c r="N241" t="b">
        <f>FALSE()</f>
        <v>0</v>
      </c>
      <c r="O241" s="18" t="b">
        <f t="shared" si="11"/>
        <v>0</v>
      </c>
    </row>
    <row r="242" spans="1:15" x14ac:dyDescent="0.35">
      <c r="A242">
        <v>40961</v>
      </c>
      <c r="B242">
        <v>1352</v>
      </c>
      <c r="C242" t="s">
        <v>26</v>
      </c>
      <c r="D242" t="s">
        <v>30</v>
      </c>
      <c r="E242" t="s">
        <v>29</v>
      </c>
      <c r="F242">
        <v>9</v>
      </c>
      <c r="G242">
        <v>4333.5</v>
      </c>
      <c r="H242">
        <v>1783.23525</v>
      </c>
      <c r="K242" t="str">
        <f t="shared" si="9"/>
        <v>1.5%</v>
      </c>
      <c r="L242" t="str">
        <f t="shared" si="10"/>
        <v>Need Improvement</v>
      </c>
      <c r="M242" t="b">
        <f>TRUE()</f>
        <v>1</v>
      </c>
      <c r="N242" t="b">
        <f>FALSE()</f>
        <v>0</v>
      </c>
      <c r="O242" s="18" t="b">
        <f t="shared" si="11"/>
        <v>0</v>
      </c>
    </row>
    <row r="243" spans="1:15" x14ac:dyDescent="0.35">
      <c r="A243">
        <v>40962</v>
      </c>
      <c r="B243">
        <v>1353</v>
      </c>
      <c r="C243" t="s">
        <v>27</v>
      </c>
      <c r="D243" t="s">
        <v>30</v>
      </c>
      <c r="E243" t="s">
        <v>25</v>
      </c>
      <c r="F243">
        <v>9</v>
      </c>
      <c r="G243">
        <v>5778</v>
      </c>
      <c r="H243">
        <v>1758.8232</v>
      </c>
      <c r="K243" t="str">
        <f t="shared" si="9"/>
        <v>2.5%</v>
      </c>
      <c r="L243" t="str">
        <f t="shared" si="10"/>
        <v>Need Improvement</v>
      </c>
      <c r="M243" t="b">
        <f>TRUE()</f>
        <v>1</v>
      </c>
      <c r="N243" t="b">
        <f>FALSE()</f>
        <v>0</v>
      </c>
      <c r="O243" s="18" t="b">
        <f t="shared" si="11"/>
        <v>0</v>
      </c>
    </row>
    <row r="244" spans="1:15" x14ac:dyDescent="0.35">
      <c r="A244">
        <v>40963</v>
      </c>
      <c r="B244">
        <v>1354</v>
      </c>
      <c r="C244" t="s">
        <v>23</v>
      </c>
      <c r="D244" t="s">
        <v>30</v>
      </c>
      <c r="E244" t="s">
        <v>25</v>
      </c>
      <c r="F244">
        <v>9</v>
      </c>
      <c r="G244">
        <v>12285</v>
      </c>
      <c r="H244">
        <v>1560.6864</v>
      </c>
      <c r="K244" t="str">
        <f t="shared" si="9"/>
        <v>5%</v>
      </c>
      <c r="L244" t="str">
        <f t="shared" si="10"/>
        <v>Good</v>
      </c>
      <c r="M244" t="b">
        <f>TRUE()</f>
        <v>1</v>
      </c>
      <c r="N244" t="b">
        <f>FALSE()</f>
        <v>0</v>
      </c>
      <c r="O244" s="18" t="b">
        <f t="shared" si="11"/>
        <v>0</v>
      </c>
    </row>
    <row r="245" spans="1:15" x14ac:dyDescent="0.35">
      <c r="A245">
        <v>40964</v>
      </c>
      <c r="B245">
        <v>1355</v>
      </c>
      <c r="C245" t="s">
        <v>26</v>
      </c>
      <c r="D245" t="s">
        <v>30</v>
      </c>
      <c r="E245" t="s">
        <v>25</v>
      </c>
      <c r="F245">
        <v>6</v>
      </c>
      <c r="G245">
        <v>1782</v>
      </c>
      <c r="H245">
        <v>3026.7269999999999</v>
      </c>
      <c r="K245" t="str">
        <f t="shared" si="9"/>
        <v>1.5%</v>
      </c>
      <c r="L245" t="str">
        <f t="shared" si="10"/>
        <v>Need Improvement</v>
      </c>
      <c r="M245" t="b">
        <f>TRUE()</f>
        <v>1</v>
      </c>
      <c r="N245" t="b">
        <f>FALSE()</f>
        <v>0</v>
      </c>
      <c r="O245" s="18" t="b">
        <f t="shared" si="11"/>
        <v>0</v>
      </c>
    </row>
    <row r="246" spans="1:15" x14ac:dyDescent="0.35">
      <c r="A246">
        <v>40965</v>
      </c>
      <c r="B246">
        <v>1356</v>
      </c>
      <c r="C246" t="s">
        <v>27</v>
      </c>
      <c r="D246" t="s">
        <v>30</v>
      </c>
      <c r="E246" t="s">
        <v>28</v>
      </c>
      <c r="F246">
        <v>9</v>
      </c>
      <c r="G246">
        <v>14310</v>
      </c>
      <c r="H246">
        <v>4742.9063999999998</v>
      </c>
      <c r="K246" t="str">
        <f t="shared" si="9"/>
        <v>5%</v>
      </c>
      <c r="L246" t="str">
        <f t="shared" si="10"/>
        <v>Good</v>
      </c>
      <c r="M246" t="b">
        <f>TRUE()</f>
        <v>1</v>
      </c>
      <c r="N246" t="b">
        <f>FALSE()</f>
        <v>0</v>
      </c>
      <c r="O246" s="18" t="b">
        <f t="shared" si="11"/>
        <v>0</v>
      </c>
    </row>
    <row r="247" spans="1:15" x14ac:dyDescent="0.35">
      <c r="A247">
        <v>40966</v>
      </c>
      <c r="B247">
        <v>1357</v>
      </c>
      <c r="C247" t="s">
        <v>23</v>
      </c>
      <c r="D247" t="s">
        <v>30</v>
      </c>
      <c r="E247" t="s">
        <v>28</v>
      </c>
      <c r="F247">
        <v>6</v>
      </c>
      <c r="G247">
        <v>1962</v>
      </c>
      <c r="H247">
        <v>2316.7296000000001</v>
      </c>
      <c r="K247" t="str">
        <f t="shared" si="9"/>
        <v>1.5%</v>
      </c>
      <c r="L247" t="str">
        <f t="shared" si="10"/>
        <v>Need Improvement</v>
      </c>
      <c r="M247" t="b">
        <f>TRUE()</f>
        <v>1</v>
      </c>
      <c r="N247" t="b">
        <f>FALSE()</f>
        <v>0</v>
      </c>
      <c r="O247" s="18" t="b">
        <f t="shared" si="11"/>
        <v>0</v>
      </c>
    </row>
    <row r="248" spans="1:15" x14ac:dyDescent="0.35">
      <c r="A248">
        <v>40967</v>
      </c>
      <c r="B248">
        <v>1358</v>
      </c>
      <c r="C248" t="s">
        <v>26</v>
      </c>
      <c r="D248" t="s">
        <v>30</v>
      </c>
      <c r="E248" t="s">
        <v>28</v>
      </c>
      <c r="F248">
        <v>9</v>
      </c>
      <c r="G248">
        <v>12465</v>
      </c>
      <c r="H248">
        <v>4464.4643999999998</v>
      </c>
      <c r="K248" t="str">
        <f t="shared" si="9"/>
        <v>5%</v>
      </c>
      <c r="L248" t="str">
        <f t="shared" si="10"/>
        <v>Good</v>
      </c>
      <c r="M248" t="b">
        <f>TRUE()</f>
        <v>1</v>
      </c>
      <c r="N248" t="b">
        <f>FALSE()</f>
        <v>0</v>
      </c>
      <c r="O248" s="18" t="b">
        <f t="shared" si="11"/>
        <v>0</v>
      </c>
    </row>
    <row r="249" spans="1:15" x14ac:dyDescent="0.35">
      <c r="A249">
        <v>40969</v>
      </c>
      <c r="B249">
        <v>1359</v>
      </c>
      <c r="C249" t="s">
        <v>27</v>
      </c>
      <c r="D249" t="s">
        <v>30</v>
      </c>
      <c r="E249" t="s">
        <v>29</v>
      </c>
      <c r="F249">
        <v>7</v>
      </c>
      <c r="G249">
        <v>7182</v>
      </c>
      <c r="H249">
        <v>3926.1600000000003</v>
      </c>
      <c r="K249" t="str">
        <f t="shared" si="9"/>
        <v>2.5%</v>
      </c>
      <c r="L249" t="str">
        <f t="shared" si="10"/>
        <v>Need Improvement</v>
      </c>
      <c r="M249" t="b">
        <f>TRUE()</f>
        <v>1</v>
      </c>
      <c r="N249" t="b">
        <f>FALSE()</f>
        <v>0</v>
      </c>
      <c r="O249" s="18" t="b">
        <f t="shared" si="11"/>
        <v>0</v>
      </c>
    </row>
    <row r="250" spans="1:15" x14ac:dyDescent="0.35">
      <c r="A250">
        <v>40970</v>
      </c>
      <c r="B250">
        <v>1360</v>
      </c>
      <c r="C250" t="s">
        <v>23</v>
      </c>
      <c r="D250" t="s">
        <v>30</v>
      </c>
      <c r="E250" t="s">
        <v>29</v>
      </c>
      <c r="F250">
        <v>8</v>
      </c>
      <c r="G250">
        <v>1548</v>
      </c>
      <c r="H250">
        <v>683.75159999999994</v>
      </c>
      <c r="K250" t="str">
        <f t="shared" si="9"/>
        <v>1.5%</v>
      </c>
      <c r="L250" t="str">
        <f t="shared" si="10"/>
        <v>Need Improvement</v>
      </c>
      <c r="M250" t="b">
        <f>TRUE()</f>
        <v>1</v>
      </c>
      <c r="N250" t="b">
        <f>FALSE()</f>
        <v>0</v>
      </c>
      <c r="O250" s="18" t="b">
        <f t="shared" si="11"/>
        <v>0</v>
      </c>
    </row>
    <row r="251" spans="1:15" x14ac:dyDescent="0.35">
      <c r="A251">
        <v>40971</v>
      </c>
      <c r="B251">
        <v>1361</v>
      </c>
      <c r="C251" t="s">
        <v>26</v>
      </c>
      <c r="D251" t="s">
        <v>30</v>
      </c>
      <c r="E251" t="s">
        <v>29</v>
      </c>
      <c r="F251">
        <v>6</v>
      </c>
      <c r="G251">
        <v>3906</v>
      </c>
      <c r="H251">
        <v>1462.4063999999998</v>
      </c>
      <c r="K251" t="str">
        <f t="shared" si="9"/>
        <v>1.5%</v>
      </c>
      <c r="L251" t="str">
        <f t="shared" si="10"/>
        <v>Need Improvement</v>
      </c>
      <c r="M251" t="b">
        <f>TRUE()</f>
        <v>1</v>
      </c>
      <c r="N251" t="b">
        <f>FALSE()</f>
        <v>0</v>
      </c>
      <c r="O251" s="18" t="b">
        <f t="shared" si="11"/>
        <v>0</v>
      </c>
    </row>
    <row r="252" spans="1:15" x14ac:dyDescent="0.35">
      <c r="A252">
        <v>40972</v>
      </c>
      <c r="B252">
        <v>1362</v>
      </c>
      <c r="C252" t="s">
        <v>27</v>
      </c>
      <c r="D252" t="s">
        <v>30</v>
      </c>
      <c r="E252" t="s">
        <v>25</v>
      </c>
      <c r="F252">
        <v>7</v>
      </c>
      <c r="G252">
        <v>1753.5</v>
      </c>
      <c r="H252">
        <v>2914.317</v>
      </c>
      <c r="K252" t="str">
        <f t="shared" si="9"/>
        <v>1.5%</v>
      </c>
      <c r="L252" t="str">
        <f t="shared" si="10"/>
        <v>Need Improvement</v>
      </c>
      <c r="M252" t="b">
        <f>TRUE()</f>
        <v>1</v>
      </c>
      <c r="N252" t="b">
        <f>FALSE()</f>
        <v>0</v>
      </c>
      <c r="O252" s="18" t="b">
        <f t="shared" si="11"/>
        <v>0</v>
      </c>
    </row>
    <row r="253" spans="1:15" x14ac:dyDescent="0.35">
      <c r="A253">
        <v>40973</v>
      </c>
      <c r="B253">
        <v>1363</v>
      </c>
      <c r="C253" t="s">
        <v>23</v>
      </c>
      <c r="D253" t="s">
        <v>30</v>
      </c>
      <c r="E253" t="s">
        <v>25</v>
      </c>
      <c r="F253">
        <v>9</v>
      </c>
      <c r="G253">
        <v>5994</v>
      </c>
      <c r="H253">
        <v>2626.5707999999995</v>
      </c>
      <c r="K253" t="str">
        <f t="shared" si="9"/>
        <v>2.5%</v>
      </c>
      <c r="L253" t="str">
        <f t="shared" si="10"/>
        <v>Need Improvement</v>
      </c>
      <c r="M253" t="b">
        <f>TRUE()</f>
        <v>1</v>
      </c>
      <c r="N253" t="b">
        <f>FALSE()</f>
        <v>0</v>
      </c>
      <c r="O253" s="18" t="b">
        <f t="shared" si="11"/>
        <v>0</v>
      </c>
    </row>
    <row r="254" spans="1:15" x14ac:dyDescent="0.35">
      <c r="A254">
        <v>41339</v>
      </c>
      <c r="B254">
        <v>1364</v>
      </c>
      <c r="C254" t="s">
        <v>26</v>
      </c>
      <c r="D254" t="s">
        <v>30</v>
      </c>
      <c r="E254" t="s">
        <v>25</v>
      </c>
      <c r="F254">
        <v>9</v>
      </c>
      <c r="G254">
        <v>6480</v>
      </c>
      <c r="H254">
        <v>4390.2</v>
      </c>
      <c r="K254" t="str">
        <f t="shared" si="9"/>
        <v>2.5%</v>
      </c>
      <c r="L254" t="str">
        <f t="shared" si="10"/>
        <v>Need Improvement</v>
      </c>
      <c r="M254" t="b">
        <f>TRUE()</f>
        <v>1</v>
      </c>
      <c r="N254" t="b">
        <f>FALSE()</f>
        <v>0</v>
      </c>
      <c r="O254" s="18" t="b">
        <f t="shared" si="11"/>
        <v>0</v>
      </c>
    </row>
    <row r="255" spans="1:15" x14ac:dyDescent="0.35">
      <c r="A255">
        <v>41340</v>
      </c>
      <c r="B255">
        <v>1365</v>
      </c>
      <c r="C255" t="s">
        <v>27</v>
      </c>
      <c r="D255" t="s">
        <v>30</v>
      </c>
      <c r="E255" t="s">
        <v>28</v>
      </c>
      <c r="F255">
        <v>6</v>
      </c>
      <c r="G255">
        <v>3078</v>
      </c>
      <c r="H255">
        <v>2534.7330000000002</v>
      </c>
      <c r="K255" t="str">
        <f t="shared" si="9"/>
        <v>1.5%</v>
      </c>
      <c r="L255" t="str">
        <f t="shared" si="10"/>
        <v>Need Improvement</v>
      </c>
      <c r="M255" t="b">
        <f>TRUE()</f>
        <v>1</v>
      </c>
      <c r="N255" t="b">
        <f>FALSE()</f>
        <v>0</v>
      </c>
      <c r="O255" s="18" t="b">
        <f t="shared" si="11"/>
        <v>0</v>
      </c>
    </row>
    <row r="256" spans="1:15" x14ac:dyDescent="0.35">
      <c r="A256">
        <v>41341</v>
      </c>
      <c r="B256">
        <v>1366</v>
      </c>
      <c r="C256" t="s">
        <v>23</v>
      </c>
      <c r="D256" t="s">
        <v>30</v>
      </c>
      <c r="E256" t="s">
        <v>28</v>
      </c>
      <c r="F256">
        <v>9</v>
      </c>
      <c r="G256">
        <v>6858</v>
      </c>
      <c r="H256">
        <v>1755.1908000000001</v>
      </c>
      <c r="K256" t="str">
        <f t="shared" si="9"/>
        <v>2.5%</v>
      </c>
      <c r="L256" t="str">
        <f t="shared" si="10"/>
        <v>Need Improvement</v>
      </c>
      <c r="M256" t="b">
        <f>TRUE()</f>
        <v>1</v>
      </c>
      <c r="N256" t="b">
        <f>FALSE()</f>
        <v>0</v>
      </c>
      <c r="O256" s="18" t="b">
        <f t="shared" si="11"/>
        <v>0</v>
      </c>
    </row>
    <row r="257" spans="1:15" x14ac:dyDescent="0.35">
      <c r="A257">
        <v>41342</v>
      </c>
      <c r="B257">
        <v>1367</v>
      </c>
      <c r="C257" t="s">
        <v>26</v>
      </c>
      <c r="D257" t="s">
        <v>30</v>
      </c>
      <c r="E257" t="s">
        <v>28</v>
      </c>
      <c r="F257">
        <v>10</v>
      </c>
      <c r="G257">
        <v>10080</v>
      </c>
      <c r="H257">
        <v>3171.1680000000001</v>
      </c>
      <c r="K257" t="str">
        <f t="shared" si="9"/>
        <v>5%</v>
      </c>
      <c r="L257" t="str">
        <f t="shared" si="10"/>
        <v>Good</v>
      </c>
      <c r="M257" t="b">
        <f>TRUE()</f>
        <v>1</v>
      </c>
      <c r="N257" t="b">
        <f>FALSE()</f>
        <v>0</v>
      </c>
      <c r="O257" s="18" t="b">
        <f t="shared" si="11"/>
        <v>0</v>
      </c>
    </row>
    <row r="258" spans="1:15" x14ac:dyDescent="0.35">
      <c r="A258">
        <v>41343</v>
      </c>
      <c r="B258">
        <v>1368</v>
      </c>
      <c r="C258" t="s">
        <v>27</v>
      </c>
      <c r="D258" t="s">
        <v>30</v>
      </c>
      <c r="E258" t="s">
        <v>29</v>
      </c>
      <c r="F258">
        <v>10</v>
      </c>
      <c r="G258">
        <v>5520</v>
      </c>
      <c r="H258">
        <v>2378.0160000000001</v>
      </c>
      <c r="K258" t="str">
        <f t="shared" si="9"/>
        <v>2.5%</v>
      </c>
      <c r="L258" t="str">
        <f t="shared" si="10"/>
        <v>Need Improvement</v>
      </c>
      <c r="M258" t="b">
        <f>TRUE()</f>
        <v>1</v>
      </c>
      <c r="N258" t="b">
        <f>FALSE()</f>
        <v>0</v>
      </c>
      <c r="O258" s="18" t="b">
        <f t="shared" si="11"/>
        <v>0</v>
      </c>
    </row>
    <row r="259" spans="1:15" x14ac:dyDescent="0.35">
      <c r="A259">
        <v>41344</v>
      </c>
      <c r="B259">
        <v>1369</v>
      </c>
      <c r="C259" t="s">
        <v>23</v>
      </c>
      <c r="D259" t="s">
        <v>30</v>
      </c>
      <c r="E259" t="s">
        <v>29</v>
      </c>
      <c r="F259">
        <v>9</v>
      </c>
      <c r="G259">
        <v>11016</v>
      </c>
      <c r="H259">
        <v>892.84679999999992</v>
      </c>
      <c r="K259" t="str">
        <f t="shared" ref="K259:K322" si="12">IF(G259&gt;10000,"5%",IF(AND(G259&gt;=5000,G259&lt;10000),"2.5%","1.5%"))</f>
        <v>5%</v>
      </c>
      <c r="L259" t="str">
        <f t="shared" ref="L259:L322" si="13">IF(OR(G259&gt;10000,H259&gt;=5000),"Good","Need Improvement")</f>
        <v>Good</v>
      </c>
      <c r="M259" t="b">
        <f>TRUE()</f>
        <v>1</v>
      </c>
      <c r="N259" t="b">
        <f>FALSE()</f>
        <v>0</v>
      </c>
      <c r="O259" s="18" t="b">
        <f t="shared" ref="O259:O322" si="14">NOT(M259)</f>
        <v>0</v>
      </c>
    </row>
    <row r="260" spans="1:15" x14ac:dyDescent="0.35">
      <c r="A260">
        <v>41345</v>
      </c>
      <c r="B260">
        <v>1370</v>
      </c>
      <c r="C260" t="s">
        <v>26</v>
      </c>
      <c r="D260" t="s">
        <v>30</v>
      </c>
      <c r="E260" t="s">
        <v>29</v>
      </c>
      <c r="F260">
        <v>8</v>
      </c>
      <c r="G260">
        <v>2232</v>
      </c>
      <c r="H260">
        <v>969.13439999999991</v>
      </c>
      <c r="K260" t="str">
        <f t="shared" si="12"/>
        <v>1.5%</v>
      </c>
      <c r="L260" t="str">
        <f t="shared" si="13"/>
        <v>Need Improvement</v>
      </c>
      <c r="M260" t="b">
        <f>TRUE()</f>
        <v>1</v>
      </c>
      <c r="N260" t="b">
        <f>FALSE()</f>
        <v>0</v>
      </c>
      <c r="O260" s="18" t="b">
        <f t="shared" si="14"/>
        <v>0</v>
      </c>
    </row>
    <row r="261" spans="1:15" x14ac:dyDescent="0.35">
      <c r="A261">
        <v>41346</v>
      </c>
      <c r="B261">
        <v>1371</v>
      </c>
      <c r="C261" t="s">
        <v>27</v>
      </c>
      <c r="D261" t="s">
        <v>30</v>
      </c>
      <c r="E261" t="s">
        <v>25</v>
      </c>
      <c r="F261">
        <v>8</v>
      </c>
      <c r="G261">
        <v>6792</v>
      </c>
      <c r="H261">
        <v>907.1848</v>
      </c>
      <c r="K261" t="str">
        <f t="shared" si="12"/>
        <v>2.5%</v>
      </c>
      <c r="L261" t="str">
        <f t="shared" si="13"/>
        <v>Need Improvement</v>
      </c>
      <c r="M261" t="b">
        <f>TRUE()</f>
        <v>1</v>
      </c>
      <c r="N261" t="b">
        <f>FALSE()</f>
        <v>0</v>
      </c>
      <c r="O261" s="18" t="b">
        <f t="shared" si="14"/>
        <v>0</v>
      </c>
    </row>
    <row r="262" spans="1:15" x14ac:dyDescent="0.35">
      <c r="A262">
        <v>41347</v>
      </c>
      <c r="B262">
        <v>1372</v>
      </c>
      <c r="C262" t="s">
        <v>23</v>
      </c>
      <c r="D262" t="s">
        <v>30</v>
      </c>
      <c r="E262" t="s">
        <v>25</v>
      </c>
      <c r="F262">
        <v>6</v>
      </c>
      <c r="G262">
        <v>8707.5</v>
      </c>
      <c r="H262">
        <v>1918.95885</v>
      </c>
      <c r="K262" t="str">
        <f t="shared" si="12"/>
        <v>2.5%</v>
      </c>
      <c r="L262" t="str">
        <f t="shared" si="13"/>
        <v>Need Improvement</v>
      </c>
      <c r="M262" t="b">
        <f>TRUE()</f>
        <v>1</v>
      </c>
      <c r="N262" t="b">
        <f>FALSE()</f>
        <v>0</v>
      </c>
      <c r="O262" s="18" t="b">
        <f t="shared" si="14"/>
        <v>0</v>
      </c>
    </row>
    <row r="263" spans="1:15" x14ac:dyDescent="0.35">
      <c r="A263">
        <v>41348</v>
      </c>
      <c r="B263">
        <v>1373</v>
      </c>
      <c r="C263" t="s">
        <v>26</v>
      </c>
      <c r="D263" t="s">
        <v>30</v>
      </c>
      <c r="E263" t="s">
        <v>25</v>
      </c>
      <c r="F263">
        <v>7</v>
      </c>
      <c r="G263">
        <v>5796</v>
      </c>
      <c r="H263">
        <v>3440.5056</v>
      </c>
      <c r="K263" t="str">
        <f t="shared" si="12"/>
        <v>2.5%</v>
      </c>
      <c r="L263" t="str">
        <f t="shared" si="13"/>
        <v>Need Improvement</v>
      </c>
      <c r="M263" t="b">
        <f>TRUE()</f>
        <v>1</v>
      </c>
      <c r="N263" t="b">
        <f>FALSE()</f>
        <v>0</v>
      </c>
      <c r="O263" s="18" t="b">
        <f t="shared" si="14"/>
        <v>0</v>
      </c>
    </row>
    <row r="264" spans="1:15" x14ac:dyDescent="0.35">
      <c r="A264">
        <v>41349</v>
      </c>
      <c r="B264">
        <v>1374</v>
      </c>
      <c r="C264" t="s">
        <v>27</v>
      </c>
      <c r="D264" t="s">
        <v>30</v>
      </c>
      <c r="E264" t="s">
        <v>28</v>
      </c>
      <c r="F264">
        <v>10</v>
      </c>
      <c r="G264">
        <v>9000</v>
      </c>
      <c r="H264">
        <v>2616.2999999999997</v>
      </c>
      <c r="K264" t="str">
        <f t="shared" si="12"/>
        <v>2.5%</v>
      </c>
      <c r="L264" t="str">
        <f t="shared" si="13"/>
        <v>Need Improvement</v>
      </c>
      <c r="M264" t="b">
        <f>TRUE()</f>
        <v>1</v>
      </c>
      <c r="N264" t="b">
        <f>FALSE()</f>
        <v>0</v>
      </c>
      <c r="O264" s="18" t="b">
        <f t="shared" si="14"/>
        <v>0</v>
      </c>
    </row>
    <row r="265" spans="1:15" x14ac:dyDescent="0.35">
      <c r="A265">
        <v>41350</v>
      </c>
      <c r="B265">
        <v>1375</v>
      </c>
      <c r="C265" t="s">
        <v>23</v>
      </c>
      <c r="D265" t="s">
        <v>30</v>
      </c>
      <c r="E265" t="s">
        <v>28</v>
      </c>
      <c r="F265">
        <v>6</v>
      </c>
      <c r="G265">
        <v>10192.5</v>
      </c>
      <c r="H265">
        <v>1763.7101999999998</v>
      </c>
      <c r="K265" t="str">
        <f t="shared" si="12"/>
        <v>5%</v>
      </c>
      <c r="L265" t="str">
        <f t="shared" si="13"/>
        <v>Good</v>
      </c>
      <c r="M265" t="b">
        <f>TRUE()</f>
        <v>1</v>
      </c>
      <c r="N265" t="b">
        <f>FALSE()</f>
        <v>0</v>
      </c>
      <c r="O265" s="18" t="b">
        <f t="shared" si="14"/>
        <v>0</v>
      </c>
    </row>
    <row r="266" spans="1:15" x14ac:dyDescent="0.35">
      <c r="A266">
        <v>41351</v>
      </c>
      <c r="B266">
        <v>1376</v>
      </c>
      <c r="C266" t="s">
        <v>26</v>
      </c>
      <c r="D266" t="s">
        <v>30</v>
      </c>
      <c r="E266" t="s">
        <v>28</v>
      </c>
      <c r="F266">
        <v>6</v>
      </c>
      <c r="G266">
        <v>7074</v>
      </c>
      <c r="H266">
        <v>594.03915000000006</v>
      </c>
      <c r="K266" t="str">
        <f t="shared" si="12"/>
        <v>2.5%</v>
      </c>
      <c r="L266" t="str">
        <f t="shared" si="13"/>
        <v>Need Improvement</v>
      </c>
      <c r="M266" t="b">
        <f>TRUE()</f>
        <v>1</v>
      </c>
      <c r="N266" t="b">
        <f>FALSE()</f>
        <v>0</v>
      </c>
      <c r="O266" s="18" t="b">
        <f t="shared" si="14"/>
        <v>0</v>
      </c>
    </row>
    <row r="267" spans="1:15" x14ac:dyDescent="0.35">
      <c r="A267">
        <v>41352</v>
      </c>
      <c r="B267">
        <v>1377</v>
      </c>
      <c r="C267" t="s">
        <v>27</v>
      </c>
      <c r="D267" t="s">
        <v>30</v>
      </c>
      <c r="E267" t="s">
        <v>29</v>
      </c>
      <c r="F267">
        <v>10</v>
      </c>
      <c r="G267">
        <v>2260</v>
      </c>
      <c r="H267">
        <v>3598.8240000000001</v>
      </c>
      <c r="K267" t="str">
        <f t="shared" si="12"/>
        <v>1.5%</v>
      </c>
      <c r="L267" t="str">
        <f t="shared" si="13"/>
        <v>Need Improvement</v>
      </c>
      <c r="M267" t="b">
        <f>TRUE()</f>
        <v>1</v>
      </c>
      <c r="N267" t="b">
        <f>FALSE()</f>
        <v>0</v>
      </c>
      <c r="O267" s="18" t="b">
        <f t="shared" si="14"/>
        <v>0</v>
      </c>
    </row>
    <row r="268" spans="1:15" x14ac:dyDescent="0.35">
      <c r="A268">
        <v>41353</v>
      </c>
      <c r="B268">
        <v>1378</v>
      </c>
      <c r="C268" t="s">
        <v>23</v>
      </c>
      <c r="D268" t="s">
        <v>30</v>
      </c>
      <c r="E268" t="s">
        <v>29</v>
      </c>
      <c r="F268">
        <v>7</v>
      </c>
      <c r="G268">
        <v>8568</v>
      </c>
      <c r="H268">
        <v>980.17920000000004</v>
      </c>
      <c r="K268" t="str">
        <f t="shared" si="12"/>
        <v>2.5%</v>
      </c>
      <c r="L268" t="str">
        <f t="shared" si="13"/>
        <v>Need Improvement</v>
      </c>
      <c r="M268" t="b">
        <f>TRUE()</f>
        <v>1</v>
      </c>
      <c r="N268" t="b">
        <f>FALSE()</f>
        <v>0</v>
      </c>
      <c r="O268" s="18" t="b">
        <f t="shared" si="14"/>
        <v>0</v>
      </c>
    </row>
    <row r="269" spans="1:15" x14ac:dyDescent="0.35">
      <c r="A269">
        <v>41354</v>
      </c>
      <c r="B269">
        <v>1379</v>
      </c>
      <c r="C269" t="s">
        <v>26</v>
      </c>
      <c r="D269" t="s">
        <v>30</v>
      </c>
      <c r="E269" t="s">
        <v>29</v>
      </c>
      <c r="F269">
        <v>8</v>
      </c>
      <c r="G269">
        <v>8856</v>
      </c>
      <c r="H269">
        <v>5951.232</v>
      </c>
      <c r="K269" t="str">
        <f t="shared" si="12"/>
        <v>2.5%</v>
      </c>
      <c r="L269" t="str">
        <f t="shared" si="13"/>
        <v>Good</v>
      </c>
      <c r="M269" t="b">
        <f>TRUE()</f>
        <v>1</v>
      </c>
      <c r="N269" t="b">
        <f>FALSE()</f>
        <v>0</v>
      </c>
      <c r="O269" s="18" t="b">
        <f t="shared" si="14"/>
        <v>0</v>
      </c>
    </row>
    <row r="270" spans="1:15" x14ac:dyDescent="0.35">
      <c r="A270">
        <v>41355</v>
      </c>
      <c r="B270">
        <v>1380</v>
      </c>
      <c r="C270" t="s">
        <v>27</v>
      </c>
      <c r="D270" t="s">
        <v>30</v>
      </c>
      <c r="E270" t="s">
        <v>25</v>
      </c>
      <c r="F270">
        <v>6</v>
      </c>
      <c r="G270">
        <v>1692</v>
      </c>
      <c r="H270">
        <v>2789.7696000000001</v>
      </c>
      <c r="K270" t="str">
        <f t="shared" si="12"/>
        <v>1.5%</v>
      </c>
      <c r="L270" t="str">
        <f t="shared" si="13"/>
        <v>Need Improvement</v>
      </c>
      <c r="M270" t="b">
        <f>TRUE()</f>
        <v>1</v>
      </c>
      <c r="N270" t="b">
        <f>FALSE()</f>
        <v>0</v>
      </c>
      <c r="O270" s="18" t="b">
        <f t="shared" si="14"/>
        <v>0</v>
      </c>
    </row>
    <row r="271" spans="1:15" x14ac:dyDescent="0.35">
      <c r="A271">
        <v>41356</v>
      </c>
      <c r="B271">
        <v>1381</v>
      </c>
      <c r="C271" t="s">
        <v>23</v>
      </c>
      <c r="D271" t="s">
        <v>30</v>
      </c>
      <c r="E271" t="s">
        <v>25</v>
      </c>
      <c r="F271">
        <v>6</v>
      </c>
      <c r="G271">
        <v>5022</v>
      </c>
      <c r="H271">
        <v>3700.3769999999995</v>
      </c>
      <c r="K271" t="str">
        <f t="shared" si="12"/>
        <v>2.5%</v>
      </c>
      <c r="L271" t="str">
        <f t="shared" si="13"/>
        <v>Need Improvement</v>
      </c>
      <c r="M271" t="b">
        <f>TRUE()</f>
        <v>1</v>
      </c>
      <c r="N271" t="b">
        <f>FALSE()</f>
        <v>0</v>
      </c>
      <c r="O271" s="18" t="b">
        <f t="shared" si="14"/>
        <v>0</v>
      </c>
    </row>
    <row r="272" spans="1:15" x14ac:dyDescent="0.35">
      <c r="A272">
        <v>41357</v>
      </c>
      <c r="B272">
        <v>1382</v>
      </c>
      <c r="C272" t="s">
        <v>26</v>
      </c>
      <c r="D272" t="s">
        <v>30</v>
      </c>
      <c r="E272" t="s">
        <v>25</v>
      </c>
      <c r="F272">
        <v>10</v>
      </c>
      <c r="G272">
        <v>8160</v>
      </c>
      <c r="H272">
        <v>3942.9119999999998</v>
      </c>
      <c r="K272" t="str">
        <f t="shared" si="12"/>
        <v>2.5%</v>
      </c>
      <c r="L272" t="str">
        <f t="shared" si="13"/>
        <v>Need Improvement</v>
      </c>
      <c r="M272" t="b">
        <f>TRUE()</f>
        <v>1</v>
      </c>
      <c r="N272" t="b">
        <f>FALSE()</f>
        <v>0</v>
      </c>
      <c r="O272" s="18" t="b">
        <f t="shared" si="14"/>
        <v>0</v>
      </c>
    </row>
    <row r="273" spans="1:15" x14ac:dyDescent="0.35">
      <c r="A273">
        <v>41358</v>
      </c>
      <c r="B273">
        <v>1383</v>
      </c>
      <c r="C273" t="s">
        <v>27</v>
      </c>
      <c r="D273" t="s">
        <v>30</v>
      </c>
      <c r="E273" t="s">
        <v>28</v>
      </c>
      <c r="F273">
        <v>7</v>
      </c>
      <c r="G273">
        <v>2509.5</v>
      </c>
      <c r="H273">
        <v>858.7509</v>
      </c>
      <c r="K273" t="str">
        <f t="shared" si="12"/>
        <v>1.5%</v>
      </c>
      <c r="L273" t="str">
        <f t="shared" si="13"/>
        <v>Need Improvement</v>
      </c>
      <c r="M273" t="b">
        <f>TRUE()</f>
        <v>1</v>
      </c>
      <c r="N273" t="b">
        <f>FALSE()</f>
        <v>0</v>
      </c>
      <c r="O273" s="18" t="b">
        <f t="shared" si="14"/>
        <v>0</v>
      </c>
    </row>
    <row r="274" spans="1:15" x14ac:dyDescent="0.35">
      <c r="A274">
        <v>41359</v>
      </c>
      <c r="B274">
        <v>1384</v>
      </c>
      <c r="C274" t="s">
        <v>23</v>
      </c>
      <c r="D274" t="s">
        <v>30</v>
      </c>
      <c r="E274" t="s">
        <v>28</v>
      </c>
      <c r="F274">
        <v>7</v>
      </c>
      <c r="G274">
        <v>1732.5</v>
      </c>
      <c r="H274">
        <v>1503.81</v>
      </c>
      <c r="K274" t="str">
        <f t="shared" si="12"/>
        <v>1.5%</v>
      </c>
      <c r="L274" t="str">
        <f t="shared" si="13"/>
        <v>Need Improvement</v>
      </c>
      <c r="M274" t="b">
        <f>TRUE()</f>
        <v>1</v>
      </c>
      <c r="N274" t="b">
        <f>FALSE()</f>
        <v>0</v>
      </c>
      <c r="O274" s="18" t="b">
        <f t="shared" si="14"/>
        <v>0</v>
      </c>
    </row>
    <row r="275" spans="1:15" x14ac:dyDescent="0.35">
      <c r="A275">
        <v>41360</v>
      </c>
      <c r="B275">
        <v>1385</v>
      </c>
      <c r="C275" t="s">
        <v>26</v>
      </c>
      <c r="D275" t="s">
        <v>30</v>
      </c>
      <c r="E275" t="s">
        <v>28</v>
      </c>
      <c r="F275">
        <v>9</v>
      </c>
      <c r="G275">
        <v>2340</v>
      </c>
      <c r="H275">
        <v>2488.59</v>
      </c>
      <c r="K275" t="str">
        <f t="shared" si="12"/>
        <v>1.5%</v>
      </c>
      <c r="L275" t="str">
        <f t="shared" si="13"/>
        <v>Need Improvement</v>
      </c>
      <c r="M275" t="b">
        <f>TRUE()</f>
        <v>1</v>
      </c>
      <c r="N275" t="b">
        <f>FALSE()</f>
        <v>0</v>
      </c>
      <c r="O275" s="18" t="b">
        <f t="shared" si="14"/>
        <v>0</v>
      </c>
    </row>
    <row r="276" spans="1:15" x14ac:dyDescent="0.35">
      <c r="A276">
        <v>41361</v>
      </c>
      <c r="B276">
        <v>1386</v>
      </c>
      <c r="C276" t="s">
        <v>27</v>
      </c>
      <c r="D276" t="s">
        <v>30</v>
      </c>
      <c r="E276" t="s">
        <v>29</v>
      </c>
      <c r="F276">
        <v>10</v>
      </c>
      <c r="G276">
        <v>10960</v>
      </c>
      <c r="H276">
        <v>3741.7439999999997</v>
      </c>
      <c r="K276" t="str">
        <f t="shared" si="12"/>
        <v>5%</v>
      </c>
      <c r="L276" t="str">
        <f t="shared" si="13"/>
        <v>Good</v>
      </c>
      <c r="M276" t="b">
        <f>TRUE()</f>
        <v>1</v>
      </c>
      <c r="N276" t="b">
        <f>FALSE()</f>
        <v>0</v>
      </c>
      <c r="O276" s="18" t="b">
        <f t="shared" si="14"/>
        <v>0</v>
      </c>
    </row>
    <row r="277" spans="1:15" x14ac:dyDescent="0.35">
      <c r="A277">
        <v>41362</v>
      </c>
      <c r="B277">
        <v>1387</v>
      </c>
      <c r="C277" t="s">
        <v>23</v>
      </c>
      <c r="D277" t="s">
        <v>30</v>
      </c>
      <c r="E277" t="s">
        <v>29</v>
      </c>
      <c r="F277">
        <v>7</v>
      </c>
      <c r="G277">
        <v>8111.25</v>
      </c>
      <c r="H277">
        <v>597.799125</v>
      </c>
      <c r="K277" t="str">
        <f t="shared" si="12"/>
        <v>2.5%</v>
      </c>
      <c r="L277" t="str">
        <f t="shared" si="13"/>
        <v>Need Improvement</v>
      </c>
      <c r="M277" t="b">
        <f>TRUE()</f>
        <v>1</v>
      </c>
      <c r="N277" t="b">
        <f>FALSE()</f>
        <v>0</v>
      </c>
      <c r="O277" s="18" t="b">
        <f t="shared" si="14"/>
        <v>0</v>
      </c>
    </row>
    <row r="278" spans="1:15" x14ac:dyDescent="0.35">
      <c r="A278">
        <v>41363</v>
      </c>
      <c r="B278">
        <v>1388</v>
      </c>
      <c r="C278" t="s">
        <v>26</v>
      </c>
      <c r="D278" t="s">
        <v>30</v>
      </c>
      <c r="E278" t="s">
        <v>29</v>
      </c>
      <c r="F278">
        <v>6</v>
      </c>
      <c r="G278">
        <v>4878</v>
      </c>
      <c r="H278">
        <v>4765.8060000000005</v>
      </c>
      <c r="K278" t="str">
        <f t="shared" si="12"/>
        <v>1.5%</v>
      </c>
      <c r="L278" t="str">
        <f t="shared" si="13"/>
        <v>Need Improvement</v>
      </c>
      <c r="M278" t="b">
        <f>TRUE()</f>
        <v>1</v>
      </c>
      <c r="N278" t="b">
        <f>FALSE()</f>
        <v>0</v>
      </c>
      <c r="O278" s="18" t="b">
        <f t="shared" si="14"/>
        <v>0</v>
      </c>
    </row>
    <row r="279" spans="1:15" x14ac:dyDescent="0.35">
      <c r="A279">
        <v>41364</v>
      </c>
      <c r="B279">
        <v>1389</v>
      </c>
      <c r="C279" t="s">
        <v>27</v>
      </c>
      <c r="D279" t="s">
        <v>30</v>
      </c>
      <c r="E279" t="s">
        <v>25</v>
      </c>
      <c r="F279">
        <v>8</v>
      </c>
      <c r="G279">
        <v>14940</v>
      </c>
      <c r="H279">
        <v>5294.7359999999999</v>
      </c>
      <c r="K279" t="str">
        <f t="shared" si="12"/>
        <v>5%</v>
      </c>
      <c r="L279" t="str">
        <f t="shared" si="13"/>
        <v>Good</v>
      </c>
      <c r="M279" t="b">
        <f>TRUE()</f>
        <v>1</v>
      </c>
      <c r="N279" t="b">
        <f>FALSE()</f>
        <v>0</v>
      </c>
      <c r="O279" s="18" t="b">
        <f t="shared" si="14"/>
        <v>0</v>
      </c>
    </row>
    <row r="280" spans="1:15" x14ac:dyDescent="0.35">
      <c r="A280">
        <v>41365</v>
      </c>
      <c r="B280">
        <v>1390</v>
      </c>
      <c r="C280" t="s">
        <v>23</v>
      </c>
      <c r="D280" t="s">
        <v>30</v>
      </c>
      <c r="E280" t="s">
        <v>25</v>
      </c>
      <c r="F280">
        <v>8</v>
      </c>
      <c r="G280">
        <v>8280</v>
      </c>
      <c r="H280">
        <v>4222.7999999999993</v>
      </c>
      <c r="K280" t="str">
        <f t="shared" si="12"/>
        <v>2.5%</v>
      </c>
      <c r="L280" t="str">
        <f t="shared" si="13"/>
        <v>Need Improvement</v>
      </c>
      <c r="M280" t="b">
        <f>TRUE()</f>
        <v>1</v>
      </c>
      <c r="N280" t="b">
        <f>FALSE()</f>
        <v>0</v>
      </c>
      <c r="O280" s="18" t="b">
        <f t="shared" si="14"/>
        <v>0</v>
      </c>
    </row>
    <row r="281" spans="1:15" x14ac:dyDescent="0.35">
      <c r="A281">
        <v>41366</v>
      </c>
      <c r="B281">
        <v>1391</v>
      </c>
      <c r="C281" t="s">
        <v>26</v>
      </c>
      <c r="D281" t="s">
        <v>30</v>
      </c>
      <c r="E281" t="s">
        <v>25</v>
      </c>
      <c r="F281">
        <v>6</v>
      </c>
      <c r="G281">
        <v>2065.5</v>
      </c>
      <c r="H281">
        <v>2443.2799500000001</v>
      </c>
      <c r="K281" t="str">
        <f t="shared" si="12"/>
        <v>1.5%</v>
      </c>
      <c r="L281" t="str">
        <f t="shared" si="13"/>
        <v>Need Improvement</v>
      </c>
      <c r="M281" t="b">
        <f>TRUE()</f>
        <v>1</v>
      </c>
      <c r="N281" t="b">
        <f>FALSE()</f>
        <v>0</v>
      </c>
      <c r="O281" s="18" t="b">
        <f t="shared" si="14"/>
        <v>0</v>
      </c>
    </row>
    <row r="282" spans="1:15" x14ac:dyDescent="0.35">
      <c r="A282">
        <v>41367</v>
      </c>
      <c r="B282">
        <v>1392</v>
      </c>
      <c r="C282" t="s">
        <v>27</v>
      </c>
      <c r="D282" t="s">
        <v>30</v>
      </c>
      <c r="E282" t="s">
        <v>28</v>
      </c>
      <c r="F282">
        <v>8</v>
      </c>
      <c r="G282">
        <v>8028</v>
      </c>
      <c r="H282">
        <v>4016.6760000000004</v>
      </c>
      <c r="K282" t="str">
        <f t="shared" si="12"/>
        <v>2.5%</v>
      </c>
      <c r="L282" t="str">
        <f t="shared" si="13"/>
        <v>Need Improvement</v>
      </c>
      <c r="M282" t="b">
        <f>TRUE()</f>
        <v>1</v>
      </c>
      <c r="N282" t="b">
        <f>FALSE()</f>
        <v>0</v>
      </c>
      <c r="O282" s="18" t="b">
        <f t="shared" si="14"/>
        <v>0</v>
      </c>
    </row>
    <row r="283" spans="1:15" x14ac:dyDescent="0.35">
      <c r="A283">
        <v>41368</v>
      </c>
      <c r="B283">
        <v>1393</v>
      </c>
      <c r="C283" t="s">
        <v>23</v>
      </c>
      <c r="D283" t="s">
        <v>30</v>
      </c>
      <c r="E283" t="s">
        <v>28</v>
      </c>
      <c r="F283">
        <v>9</v>
      </c>
      <c r="G283">
        <v>8280</v>
      </c>
      <c r="H283">
        <v>3315.1049999999996</v>
      </c>
      <c r="K283" t="str">
        <f t="shared" si="12"/>
        <v>2.5%</v>
      </c>
      <c r="L283" t="str">
        <f t="shared" si="13"/>
        <v>Need Improvement</v>
      </c>
      <c r="M283" t="b">
        <f>TRUE()</f>
        <v>1</v>
      </c>
      <c r="N283" t="b">
        <f>FALSE()</f>
        <v>0</v>
      </c>
      <c r="O283" s="18" t="b">
        <f t="shared" si="14"/>
        <v>0</v>
      </c>
    </row>
    <row r="284" spans="1:15" x14ac:dyDescent="0.35">
      <c r="A284">
        <v>41369</v>
      </c>
      <c r="B284">
        <v>1394</v>
      </c>
      <c r="C284" t="s">
        <v>26</v>
      </c>
      <c r="D284" t="s">
        <v>30</v>
      </c>
      <c r="E284" t="s">
        <v>28</v>
      </c>
      <c r="F284">
        <v>7</v>
      </c>
      <c r="G284">
        <v>2215.5</v>
      </c>
      <c r="H284">
        <v>2865.9708000000005</v>
      </c>
      <c r="K284" t="str">
        <f t="shared" si="12"/>
        <v>1.5%</v>
      </c>
      <c r="L284" t="str">
        <f t="shared" si="13"/>
        <v>Need Improvement</v>
      </c>
      <c r="M284" t="b">
        <f>TRUE()</f>
        <v>1</v>
      </c>
      <c r="N284" t="b">
        <f>FALSE()</f>
        <v>0</v>
      </c>
      <c r="O284" s="18" t="b">
        <f t="shared" si="14"/>
        <v>0</v>
      </c>
    </row>
    <row r="285" spans="1:15" x14ac:dyDescent="0.35">
      <c r="A285">
        <v>41370</v>
      </c>
      <c r="B285">
        <v>1395</v>
      </c>
      <c r="C285" t="s">
        <v>27</v>
      </c>
      <c r="D285" t="s">
        <v>30</v>
      </c>
      <c r="E285" t="s">
        <v>29</v>
      </c>
      <c r="F285">
        <v>7</v>
      </c>
      <c r="G285">
        <v>12022.5</v>
      </c>
      <c r="H285">
        <v>2547.0868500000006</v>
      </c>
      <c r="K285" t="str">
        <f t="shared" si="12"/>
        <v>5%</v>
      </c>
      <c r="L285" t="str">
        <f t="shared" si="13"/>
        <v>Good</v>
      </c>
      <c r="M285" t="b">
        <f>TRUE()</f>
        <v>1</v>
      </c>
      <c r="N285" t="b">
        <f>FALSE()</f>
        <v>0</v>
      </c>
      <c r="O285" s="18" t="b">
        <f t="shared" si="14"/>
        <v>0</v>
      </c>
    </row>
    <row r="286" spans="1:15" x14ac:dyDescent="0.35">
      <c r="A286">
        <v>41371</v>
      </c>
      <c r="B286">
        <v>1396</v>
      </c>
      <c r="C286" t="s">
        <v>23</v>
      </c>
      <c r="D286" t="s">
        <v>30</v>
      </c>
      <c r="E286" t="s">
        <v>29</v>
      </c>
      <c r="F286">
        <v>10</v>
      </c>
      <c r="G286">
        <v>3600</v>
      </c>
      <c r="H286">
        <v>3808.8</v>
      </c>
      <c r="K286" t="str">
        <f t="shared" si="12"/>
        <v>1.5%</v>
      </c>
      <c r="L286" t="str">
        <f t="shared" si="13"/>
        <v>Need Improvement</v>
      </c>
      <c r="M286" t="b">
        <f>TRUE()</f>
        <v>1</v>
      </c>
      <c r="N286" t="b">
        <f>FALSE()</f>
        <v>0</v>
      </c>
      <c r="O286" s="18" t="b">
        <f t="shared" si="14"/>
        <v>0</v>
      </c>
    </row>
    <row r="287" spans="1:15" x14ac:dyDescent="0.35">
      <c r="A287">
        <v>41372</v>
      </c>
      <c r="B287">
        <v>1397</v>
      </c>
      <c r="C287" t="s">
        <v>26</v>
      </c>
      <c r="D287" t="s">
        <v>30</v>
      </c>
      <c r="E287" t="s">
        <v>29</v>
      </c>
      <c r="F287">
        <v>8</v>
      </c>
      <c r="G287">
        <v>5136</v>
      </c>
      <c r="H287">
        <v>2781.9143999999997</v>
      </c>
      <c r="K287" t="str">
        <f t="shared" si="12"/>
        <v>2.5%</v>
      </c>
      <c r="L287" t="str">
        <f t="shared" si="13"/>
        <v>Need Improvement</v>
      </c>
      <c r="M287" t="b">
        <f>TRUE()</f>
        <v>1</v>
      </c>
      <c r="N287" t="b">
        <f>FALSE()</f>
        <v>0</v>
      </c>
      <c r="O287" s="18" t="b">
        <f t="shared" si="14"/>
        <v>0</v>
      </c>
    </row>
    <row r="288" spans="1:15" x14ac:dyDescent="0.35">
      <c r="A288">
        <v>41373</v>
      </c>
      <c r="B288">
        <v>1398</v>
      </c>
      <c r="C288" t="s">
        <v>27</v>
      </c>
      <c r="D288" t="s">
        <v>30</v>
      </c>
      <c r="E288" t="s">
        <v>25</v>
      </c>
      <c r="F288">
        <v>9</v>
      </c>
      <c r="G288">
        <v>2430</v>
      </c>
      <c r="H288">
        <v>5209.920000000001</v>
      </c>
      <c r="K288" t="str">
        <f t="shared" si="12"/>
        <v>1.5%</v>
      </c>
      <c r="L288" t="str">
        <f t="shared" si="13"/>
        <v>Good</v>
      </c>
      <c r="M288" t="b">
        <f>TRUE()</f>
        <v>1</v>
      </c>
      <c r="N288" t="b">
        <f>FALSE()</f>
        <v>0</v>
      </c>
      <c r="O288" s="18" t="b">
        <f t="shared" si="14"/>
        <v>0</v>
      </c>
    </row>
    <row r="289" spans="1:15" x14ac:dyDescent="0.35">
      <c r="A289">
        <v>41374</v>
      </c>
      <c r="B289">
        <v>1399</v>
      </c>
      <c r="C289" t="s">
        <v>23</v>
      </c>
      <c r="D289" t="s">
        <v>30</v>
      </c>
      <c r="E289" t="s">
        <v>25</v>
      </c>
      <c r="F289">
        <v>10</v>
      </c>
      <c r="G289">
        <v>10160</v>
      </c>
      <c r="H289">
        <v>3020.5679999999998</v>
      </c>
      <c r="K289" t="str">
        <f t="shared" si="12"/>
        <v>5%</v>
      </c>
      <c r="L289" t="str">
        <f t="shared" si="13"/>
        <v>Good</v>
      </c>
      <c r="M289" t="b">
        <f>TRUE()</f>
        <v>1</v>
      </c>
      <c r="N289" t="b">
        <f>FALSE()</f>
        <v>0</v>
      </c>
      <c r="O289" s="18" t="b">
        <f t="shared" si="14"/>
        <v>0</v>
      </c>
    </row>
    <row r="290" spans="1:15" x14ac:dyDescent="0.35">
      <c r="A290">
        <v>41375</v>
      </c>
      <c r="B290">
        <v>1400</v>
      </c>
      <c r="C290" t="s">
        <v>26</v>
      </c>
      <c r="D290" t="s">
        <v>30</v>
      </c>
      <c r="E290" t="s">
        <v>25</v>
      </c>
      <c r="F290">
        <v>7</v>
      </c>
      <c r="G290">
        <v>8379</v>
      </c>
      <c r="H290">
        <v>4688.0505000000003</v>
      </c>
      <c r="K290" t="str">
        <f t="shared" si="12"/>
        <v>2.5%</v>
      </c>
      <c r="L290" t="str">
        <f t="shared" si="13"/>
        <v>Need Improvement</v>
      </c>
      <c r="M290" t="b">
        <f>TRUE()</f>
        <v>1</v>
      </c>
      <c r="N290" t="b">
        <f>FALSE()</f>
        <v>0</v>
      </c>
      <c r="O290" s="18" t="b">
        <f t="shared" si="14"/>
        <v>0</v>
      </c>
    </row>
    <row r="291" spans="1:15" x14ac:dyDescent="0.35">
      <c r="A291">
        <v>41376</v>
      </c>
      <c r="B291">
        <v>1401</v>
      </c>
      <c r="C291" t="s">
        <v>27</v>
      </c>
      <c r="D291" t="s">
        <v>30</v>
      </c>
      <c r="E291" t="s">
        <v>28</v>
      </c>
      <c r="F291">
        <v>10</v>
      </c>
      <c r="G291">
        <v>3420</v>
      </c>
      <c r="H291">
        <v>1141.596</v>
      </c>
      <c r="K291" t="str">
        <f t="shared" si="12"/>
        <v>1.5%</v>
      </c>
      <c r="L291" t="str">
        <f t="shared" si="13"/>
        <v>Need Improvement</v>
      </c>
      <c r="M291" t="b">
        <f>TRUE()</f>
        <v>1</v>
      </c>
      <c r="N291" t="b">
        <f>FALSE()</f>
        <v>0</v>
      </c>
      <c r="O291" s="18" t="b">
        <f t="shared" si="14"/>
        <v>0</v>
      </c>
    </row>
    <row r="292" spans="1:15" x14ac:dyDescent="0.35">
      <c r="A292">
        <v>41377</v>
      </c>
      <c r="B292">
        <v>1402</v>
      </c>
      <c r="C292" t="s">
        <v>23</v>
      </c>
      <c r="D292" t="s">
        <v>30</v>
      </c>
      <c r="E292" t="s">
        <v>28</v>
      </c>
      <c r="F292">
        <v>7</v>
      </c>
      <c r="G292">
        <v>2572.5</v>
      </c>
      <c r="H292">
        <v>1882.5554999999999</v>
      </c>
      <c r="K292" t="str">
        <f t="shared" si="12"/>
        <v>1.5%</v>
      </c>
      <c r="L292" t="str">
        <f t="shared" si="13"/>
        <v>Need Improvement</v>
      </c>
      <c r="M292" t="b">
        <f>TRUE()</f>
        <v>1</v>
      </c>
      <c r="N292" t="b">
        <f>FALSE()</f>
        <v>0</v>
      </c>
      <c r="O292" s="18" t="b">
        <f t="shared" si="14"/>
        <v>0</v>
      </c>
    </row>
    <row r="293" spans="1:15" x14ac:dyDescent="0.35">
      <c r="A293">
        <v>41378</v>
      </c>
      <c r="B293">
        <v>1403</v>
      </c>
      <c r="C293" t="s">
        <v>26</v>
      </c>
      <c r="D293" t="s">
        <v>30</v>
      </c>
      <c r="E293" t="s">
        <v>28</v>
      </c>
      <c r="F293">
        <v>7</v>
      </c>
      <c r="G293">
        <v>12652.5</v>
      </c>
      <c r="H293">
        <v>807.73559999999998</v>
      </c>
      <c r="K293" t="str">
        <f t="shared" si="12"/>
        <v>5%</v>
      </c>
      <c r="L293" t="str">
        <f t="shared" si="13"/>
        <v>Good</v>
      </c>
      <c r="M293" t="b">
        <f>TRUE()</f>
        <v>1</v>
      </c>
      <c r="N293" t="b">
        <f>FALSE()</f>
        <v>0</v>
      </c>
      <c r="O293" s="18" t="b">
        <f t="shared" si="14"/>
        <v>0</v>
      </c>
    </row>
    <row r="294" spans="1:15" x14ac:dyDescent="0.35">
      <c r="A294">
        <v>41379</v>
      </c>
      <c r="B294">
        <v>1404</v>
      </c>
      <c r="C294" t="s">
        <v>27</v>
      </c>
      <c r="D294" t="s">
        <v>30</v>
      </c>
      <c r="E294" t="s">
        <v>29</v>
      </c>
      <c r="F294">
        <v>6</v>
      </c>
      <c r="G294">
        <v>8856</v>
      </c>
      <c r="H294">
        <v>4363.7939999999999</v>
      </c>
      <c r="K294" t="str">
        <f t="shared" si="12"/>
        <v>2.5%</v>
      </c>
      <c r="L294" t="str">
        <f t="shared" si="13"/>
        <v>Need Improvement</v>
      </c>
      <c r="M294" t="b">
        <f>TRUE()</f>
        <v>1</v>
      </c>
      <c r="N294" t="b">
        <f>FALSE()</f>
        <v>0</v>
      </c>
      <c r="O294" s="18" t="b">
        <f t="shared" si="14"/>
        <v>0</v>
      </c>
    </row>
    <row r="295" spans="1:15" x14ac:dyDescent="0.35">
      <c r="A295">
        <v>41380</v>
      </c>
      <c r="B295">
        <v>1405</v>
      </c>
      <c r="C295" t="s">
        <v>23</v>
      </c>
      <c r="D295" t="s">
        <v>30</v>
      </c>
      <c r="E295" t="s">
        <v>29</v>
      </c>
      <c r="F295">
        <v>7</v>
      </c>
      <c r="G295">
        <v>8820</v>
      </c>
      <c r="H295">
        <v>2115.6239999999998</v>
      </c>
      <c r="K295" t="str">
        <f t="shared" si="12"/>
        <v>2.5%</v>
      </c>
      <c r="L295" t="str">
        <f t="shared" si="13"/>
        <v>Need Improvement</v>
      </c>
      <c r="M295" t="b">
        <f>TRUE()</f>
        <v>1</v>
      </c>
      <c r="N295" t="b">
        <f>FALSE()</f>
        <v>0</v>
      </c>
      <c r="O295" s="18" t="b">
        <f t="shared" si="14"/>
        <v>0</v>
      </c>
    </row>
    <row r="296" spans="1:15" x14ac:dyDescent="0.35">
      <c r="A296">
        <v>41381</v>
      </c>
      <c r="B296">
        <v>1406</v>
      </c>
      <c r="C296" t="s">
        <v>26</v>
      </c>
      <c r="D296" t="s">
        <v>30</v>
      </c>
      <c r="E296" t="s">
        <v>29</v>
      </c>
      <c r="F296">
        <v>9</v>
      </c>
      <c r="G296">
        <v>13230</v>
      </c>
      <c r="H296">
        <v>2436.9659999999999</v>
      </c>
      <c r="K296" t="str">
        <f t="shared" si="12"/>
        <v>5%</v>
      </c>
      <c r="L296" t="str">
        <f t="shared" si="13"/>
        <v>Good</v>
      </c>
      <c r="M296" t="b">
        <f>TRUE()</f>
        <v>1</v>
      </c>
      <c r="N296" t="b">
        <f>FALSE()</f>
        <v>0</v>
      </c>
      <c r="O296" s="18" t="b">
        <f t="shared" si="14"/>
        <v>0</v>
      </c>
    </row>
    <row r="297" spans="1:15" x14ac:dyDescent="0.35">
      <c r="A297">
        <v>41382</v>
      </c>
      <c r="B297">
        <v>1407</v>
      </c>
      <c r="C297" t="s">
        <v>27</v>
      </c>
      <c r="D297" t="s">
        <v>30</v>
      </c>
      <c r="E297" t="s">
        <v>25</v>
      </c>
      <c r="F297">
        <v>6</v>
      </c>
      <c r="G297">
        <v>6358.5</v>
      </c>
      <c r="H297">
        <v>2668.0265999999992</v>
      </c>
      <c r="K297" t="str">
        <f t="shared" si="12"/>
        <v>2.5%</v>
      </c>
      <c r="L297" t="str">
        <f t="shared" si="13"/>
        <v>Need Improvement</v>
      </c>
      <c r="M297" t="b">
        <f>TRUE()</f>
        <v>1</v>
      </c>
      <c r="N297" t="b">
        <f>FALSE()</f>
        <v>0</v>
      </c>
      <c r="O297" s="18" t="b">
        <f t="shared" si="14"/>
        <v>0</v>
      </c>
    </row>
    <row r="298" spans="1:15" x14ac:dyDescent="0.35">
      <c r="A298">
        <v>41383</v>
      </c>
      <c r="B298">
        <v>1408</v>
      </c>
      <c r="C298" t="s">
        <v>23</v>
      </c>
      <c r="D298" t="s">
        <v>30</v>
      </c>
      <c r="E298" t="s">
        <v>25</v>
      </c>
      <c r="F298">
        <v>9</v>
      </c>
      <c r="G298">
        <v>13095</v>
      </c>
      <c r="H298">
        <v>1701.3023999999998</v>
      </c>
      <c r="K298" t="str">
        <f t="shared" si="12"/>
        <v>5%</v>
      </c>
      <c r="L298" t="str">
        <f t="shared" si="13"/>
        <v>Good</v>
      </c>
      <c r="M298" t="b">
        <f>TRUE()</f>
        <v>1</v>
      </c>
      <c r="N298" t="b">
        <f>FALSE()</f>
        <v>0</v>
      </c>
      <c r="O298" s="18" t="b">
        <f t="shared" si="14"/>
        <v>0</v>
      </c>
    </row>
    <row r="299" spans="1:15" x14ac:dyDescent="0.35">
      <c r="A299">
        <v>41384</v>
      </c>
      <c r="B299">
        <v>1409</v>
      </c>
      <c r="C299" t="s">
        <v>26</v>
      </c>
      <c r="D299" t="s">
        <v>30</v>
      </c>
      <c r="E299" t="s">
        <v>25</v>
      </c>
      <c r="F299">
        <v>7</v>
      </c>
      <c r="G299">
        <v>3822</v>
      </c>
      <c r="H299">
        <v>3359.538</v>
      </c>
      <c r="K299" t="str">
        <f t="shared" si="12"/>
        <v>1.5%</v>
      </c>
      <c r="L299" t="str">
        <f t="shared" si="13"/>
        <v>Need Improvement</v>
      </c>
      <c r="M299" t="b">
        <f>TRUE()</f>
        <v>1</v>
      </c>
      <c r="N299" t="b">
        <f>FALSE()</f>
        <v>0</v>
      </c>
      <c r="O299" s="18" t="b">
        <f t="shared" si="14"/>
        <v>0</v>
      </c>
    </row>
    <row r="300" spans="1:15" x14ac:dyDescent="0.35">
      <c r="A300">
        <v>41385</v>
      </c>
      <c r="B300">
        <v>1410</v>
      </c>
      <c r="C300" t="s">
        <v>27</v>
      </c>
      <c r="D300" t="s">
        <v>30</v>
      </c>
      <c r="E300" t="s">
        <v>28</v>
      </c>
      <c r="F300">
        <v>10</v>
      </c>
      <c r="G300">
        <v>13600</v>
      </c>
      <c r="H300">
        <v>5811.2800000000007</v>
      </c>
      <c r="K300" t="str">
        <f t="shared" si="12"/>
        <v>5%</v>
      </c>
      <c r="L300" t="str">
        <f t="shared" si="13"/>
        <v>Good</v>
      </c>
      <c r="M300" t="b">
        <f>TRUE()</f>
        <v>1</v>
      </c>
      <c r="N300" t="b">
        <f>FALSE()</f>
        <v>0</v>
      </c>
      <c r="O300" s="18" t="b">
        <f t="shared" si="14"/>
        <v>0</v>
      </c>
    </row>
    <row r="301" spans="1:15" x14ac:dyDescent="0.35">
      <c r="A301">
        <v>41386</v>
      </c>
      <c r="B301">
        <v>1411</v>
      </c>
      <c r="C301" t="s">
        <v>23</v>
      </c>
      <c r="D301" t="s">
        <v>30</v>
      </c>
      <c r="E301" t="s">
        <v>28</v>
      </c>
      <c r="F301">
        <v>8</v>
      </c>
      <c r="G301">
        <v>8640</v>
      </c>
      <c r="H301">
        <v>4520.880000000001</v>
      </c>
      <c r="K301" t="str">
        <f t="shared" si="12"/>
        <v>2.5%</v>
      </c>
      <c r="L301" t="str">
        <f t="shared" si="13"/>
        <v>Need Improvement</v>
      </c>
      <c r="M301" t="b">
        <f>TRUE()</f>
        <v>1</v>
      </c>
      <c r="N301" t="b">
        <f>FALSE()</f>
        <v>0</v>
      </c>
      <c r="O301" s="18" t="b">
        <f t="shared" si="14"/>
        <v>0</v>
      </c>
    </row>
    <row r="302" spans="1:15" x14ac:dyDescent="0.35">
      <c r="A302">
        <v>41387</v>
      </c>
      <c r="B302">
        <v>1412</v>
      </c>
      <c r="C302" t="s">
        <v>26</v>
      </c>
      <c r="D302" t="s">
        <v>30</v>
      </c>
      <c r="E302" t="s">
        <v>28</v>
      </c>
      <c r="F302">
        <v>9</v>
      </c>
      <c r="G302">
        <v>2421</v>
      </c>
      <c r="H302">
        <v>3976.4924999999998</v>
      </c>
      <c r="K302" t="str">
        <f t="shared" si="12"/>
        <v>1.5%</v>
      </c>
      <c r="L302" t="str">
        <f t="shared" si="13"/>
        <v>Need Improvement</v>
      </c>
      <c r="M302" t="b">
        <f>TRUE()</f>
        <v>1</v>
      </c>
      <c r="N302" t="b">
        <f>FALSE()</f>
        <v>0</v>
      </c>
      <c r="O302" s="18" t="b">
        <f t="shared" si="14"/>
        <v>0</v>
      </c>
    </row>
    <row r="303" spans="1:15" x14ac:dyDescent="0.35">
      <c r="A303">
        <v>41388</v>
      </c>
      <c r="B303">
        <v>1413</v>
      </c>
      <c r="C303" t="s">
        <v>27</v>
      </c>
      <c r="D303" t="s">
        <v>30</v>
      </c>
      <c r="E303" t="s">
        <v>29</v>
      </c>
      <c r="F303">
        <v>6</v>
      </c>
      <c r="G303">
        <v>7290</v>
      </c>
      <c r="H303">
        <v>3423.5662499999999</v>
      </c>
      <c r="K303" t="str">
        <f t="shared" si="12"/>
        <v>2.5%</v>
      </c>
      <c r="L303" t="str">
        <f t="shared" si="13"/>
        <v>Need Improvement</v>
      </c>
      <c r="M303" t="b">
        <f>TRUE()</f>
        <v>1</v>
      </c>
      <c r="N303" t="b">
        <f>FALSE()</f>
        <v>0</v>
      </c>
      <c r="O303" s="18" t="b">
        <f t="shared" si="14"/>
        <v>0</v>
      </c>
    </row>
    <row r="304" spans="1:15" x14ac:dyDescent="0.35">
      <c r="A304">
        <v>41389</v>
      </c>
      <c r="B304">
        <v>1414</v>
      </c>
      <c r="C304" t="s">
        <v>23</v>
      </c>
      <c r="D304" t="s">
        <v>30</v>
      </c>
      <c r="E304" t="s">
        <v>29</v>
      </c>
      <c r="F304">
        <v>8</v>
      </c>
      <c r="G304">
        <v>6192</v>
      </c>
      <c r="H304">
        <v>2479.8959999999997</v>
      </c>
      <c r="K304" t="str">
        <f t="shared" si="12"/>
        <v>2.5%</v>
      </c>
      <c r="L304" t="str">
        <f t="shared" si="13"/>
        <v>Need Improvement</v>
      </c>
      <c r="M304" t="b">
        <f>TRUE()</f>
        <v>1</v>
      </c>
      <c r="N304" t="b">
        <f>FALSE()</f>
        <v>0</v>
      </c>
      <c r="O304" s="18" t="b">
        <f t="shared" si="14"/>
        <v>0</v>
      </c>
    </row>
    <row r="305" spans="1:15" x14ac:dyDescent="0.35">
      <c r="A305">
        <v>41390</v>
      </c>
      <c r="B305">
        <v>1415</v>
      </c>
      <c r="C305" t="s">
        <v>26</v>
      </c>
      <c r="D305" t="s">
        <v>30</v>
      </c>
      <c r="E305" t="s">
        <v>29</v>
      </c>
      <c r="F305">
        <v>6</v>
      </c>
      <c r="G305">
        <v>2146.5</v>
      </c>
      <c r="H305">
        <v>2718.7569000000003</v>
      </c>
      <c r="K305" t="str">
        <f t="shared" si="12"/>
        <v>1.5%</v>
      </c>
      <c r="L305" t="str">
        <f t="shared" si="13"/>
        <v>Need Improvement</v>
      </c>
      <c r="M305" t="b">
        <f>TRUE()</f>
        <v>1</v>
      </c>
      <c r="N305" t="b">
        <f>FALSE()</f>
        <v>0</v>
      </c>
      <c r="O305" s="18" t="b">
        <f t="shared" si="14"/>
        <v>0</v>
      </c>
    </row>
    <row r="306" spans="1:15" x14ac:dyDescent="0.35">
      <c r="A306">
        <v>41391</v>
      </c>
      <c r="B306">
        <v>1416</v>
      </c>
      <c r="C306" t="s">
        <v>27</v>
      </c>
      <c r="D306" t="s">
        <v>30</v>
      </c>
      <c r="E306" t="s">
        <v>25</v>
      </c>
      <c r="F306">
        <v>7</v>
      </c>
      <c r="G306">
        <v>7528.5</v>
      </c>
      <c r="H306">
        <v>769.66364999999985</v>
      </c>
      <c r="K306" t="str">
        <f t="shared" si="12"/>
        <v>2.5%</v>
      </c>
      <c r="L306" t="str">
        <f t="shared" si="13"/>
        <v>Need Improvement</v>
      </c>
      <c r="M306" t="b">
        <f>TRUE()</f>
        <v>1</v>
      </c>
      <c r="N306" t="b">
        <f>FALSE()</f>
        <v>0</v>
      </c>
      <c r="O306" s="18" t="b">
        <f t="shared" si="14"/>
        <v>0</v>
      </c>
    </row>
    <row r="307" spans="1:15" x14ac:dyDescent="0.35">
      <c r="A307">
        <v>41392</v>
      </c>
      <c r="B307">
        <v>1417</v>
      </c>
      <c r="C307" t="s">
        <v>23</v>
      </c>
      <c r="D307" t="s">
        <v>30</v>
      </c>
      <c r="E307" t="s">
        <v>25</v>
      </c>
      <c r="F307">
        <v>6</v>
      </c>
      <c r="G307">
        <v>2106</v>
      </c>
      <c r="H307">
        <v>1447.6644000000001</v>
      </c>
      <c r="K307" t="str">
        <f t="shared" si="12"/>
        <v>1.5%</v>
      </c>
      <c r="L307" t="str">
        <f t="shared" si="13"/>
        <v>Need Improvement</v>
      </c>
      <c r="M307" t="b">
        <f>TRUE()</f>
        <v>1</v>
      </c>
      <c r="N307" t="b">
        <f>FALSE()</f>
        <v>0</v>
      </c>
      <c r="O307" s="18" t="b">
        <f t="shared" si="14"/>
        <v>0</v>
      </c>
    </row>
    <row r="308" spans="1:15" x14ac:dyDescent="0.35">
      <c r="A308">
        <v>41393</v>
      </c>
      <c r="B308">
        <v>1418</v>
      </c>
      <c r="C308" t="s">
        <v>26</v>
      </c>
      <c r="D308" t="s">
        <v>30</v>
      </c>
      <c r="E308" t="s">
        <v>25</v>
      </c>
      <c r="F308">
        <v>10</v>
      </c>
      <c r="G308">
        <v>8480</v>
      </c>
      <c r="H308">
        <v>2146.5</v>
      </c>
      <c r="K308" t="str">
        <f t="shared" si="12"/>
        <v>2.5%</v>
      </c>
      <c r="L308" t="str">
        <f t="shared" si="13"/>
        <v>Need Improvement</v>
      </c>
      <c r="M308" t="b">
        <f>TRUE()</f>
        <v>1</v>
      </c>
      <c r="N308" t="b">
        <f>FALSE()</f>
        <v>0</v>
      </c>
      <c r="O308" s="18" t="b">
        <f t="shared" si="14"/>
        <v>0</v>
      </c>
    </row>
    <row r="309" spans="1:15" x14ac:dyDescent="0.35">
      <c r="A309">
        <v>41394</v>
      </c>
      <c r="B309">
        <v>1419</v>
      </c>
      <c r="C309" t="s">
        <v>27</v>
      </c>
      <c r="D309" t="s">
        <v>30</v>
      </c>
      <c r="E309" t="s">
        <v>28</v>
      </c>
      <c r="F309">
        <v>6</v>
      </c>
      <c r="G309">
        <v>4266</v>
      </c>
      <c r="H309">
        <v>665.92259999999999</v>
      </c>
      <c r="K309" t="str">
        <f t="shared" si="12"/>
        <v>1.5%</v>
      </c>
      <c r="L309" t="str">
        <f t="shared" si="13"/>
        <v>Need Improvement</v>
      </c>
      <c r="M309" t="b">
        <f>TRUE()</f>
        <v>1</v>
      </c>
      <c r="N309" t="b">
        <f>FALSE()</f>
        <v>0</v>
      </c>
      <c r="O309" s="18" t="b">
        <f t="shared" si="14"/>
        <v>0</v>
      </c>
    </row>
    <row r="310" spans="1:15" x14ac:dyDescent="0.35">
      <c r="A310">
        <v>41395</v>
      </c>
      <c r="B310">
        <v>1420</v>
      </c>
      <c r="C310" t="s">
        <v>23</v>
      </c>
      <c r="D310" t="s">
        <v>30</v>
      </c>
      <c r="E310" t="s">
        <v>28</v>
      </c>
      <c r="F310">
        <v>10</v>
      </c>
      <c r="G310">
        <v>7245</v>
      </c>
      <c r="H310">
        <v>3210.2594999999997</v>
      </c>
      <c r="K310" t="str">
        <f t="shared" si="12"/>
        <v>2.5%</v>
      </c>
      <c r="L310" t="str">
        <f t="shared" si="13"/>
        <v>Need Improvement</v>
      </c>
      <c r="M310" t="b">
        <f>TRUE()</f>
        <v>1</v>
      </c>
      <c r="N310" t="b">
        <f>FALSE()</f>
        <v>0</v>
      </c>
      <c r="O310" s="18" t="b">
        <f t="shared" si="14"/>
        <v>0</v>
      </c>
    </row>
    <row r="311" spans="1:15" x14ac:dyDescent="0.35">
      <c r="A311">
        <v>41396</v>
      </c>
      <c r="B311">
        <v>1421</v>
      </c>
      <c r="C311" t="s">
        <v>26</v>
      </c>
      <c r="D311" t="s">
        <v>30</v>
      </c>
      <c r="E311" t="s">
        <v>28</v>
      </c>
      <c r="F311">
        <v>9</v>
      </c>
      <c r="G311">
        <v>1552.5</v>
      </c>
      <c r="H311">
        <v>2023.8390000000002</v>
      </c>
      <c r="K311" t="str">
        <f t="shared" si="12"/>
        <v>1.5%</v>
      </c>
      <c r="L311" t="str">
        <f t="shared" si="13"/>
        <v>Need Improvement</v>
      </c>
      <c r="M311" t="b">
        <f>TRUE()</f>
        <v>1</v>
      </c>
      <c r="N311" t="b">
        <f>FALSE()</f>
        <v>0</v>
      </c>
      <c r="O311" s="18" t="b">
        <f t="shared" si="14"/>
        <v>0</v>
      </c>
    </row>
    <row r="312" spans="1:15" x14ac:dyDescent="0.35">
      <c r="A312">
        <v>41397</v>
      </c>
      <c r="B312">
        <v>1422</v>
      </c>
      <c r="C312" t="s">
        <v>27</v>
      </c>
      <c r="D312" t="s">
        <v>30</v>
      </c>
      <c r="E312" t="s">
        <v>29</v>
      </c>
      <c r="F312">
        <v>6</v>
      </c>
      <c r="G312">
        <v>2151</v>
      </c>
      <c r="H312">
        <v>3784.8995999999997</v>
      </c>
      <c r="K312" t="str">
        <f t="shared" si="12"/>
        <v>1.5%</v>
      </c>
      <c r="L312" t="str">
        <f t="shared" si="13"/>
        <v>Need Improvement</v>
      </c>
      <c r="M312" t="b">
        <f>TRUE()</f>
        <v>1</v>
      </c>
      <c r="N312" t="b">
        <f>FALSE()</f>
        <v>0</v>
      </c>
      <c r="O312" s="18" t="b">
        <f t="shared" si="14"/>
        <v>0</v>
      </c>
    </row>
    <row r="313" spans="1:15" x14ac:dyDescent="0.35">
      <c r="A313">
        <v>41398</v>
      </c>
      <c r="B313">
        <v>1423</v>
      </c>
      <c r="C313" t="s">
        <v>23</v>
      </c>
      <c r="D313" t="s">
        <v>30</v>
      </c>
      <c r="E313" t="s">
        <v>29</v>
      </c>
      <c r="F313">
        <v>6</v>
      </c>
      <c r="G313">
        <v>7222.5</v>
      </c>
      <c r="H313">
        <v>1295.7165</v>
      </c>
      <c r="K313" t="str">
        <f t="shared" si="12"/>
        <v>2.5%</v>
      </c>
      <c r="L313" t="str">
        <f t="shared" si="13"/>
        <v>Need Improvement</v>
      </c>
      <c r="M313" t="b">
        <f>TRUE()</f>
        <v>1</v>
      </c>
      <c r="N313" t="b">
        <f>FALSE()</f>
        <v>0</v>
      </c>
      <c r="O313" s="18" t="b">
        <f t="shared" si="14"/>
        <v>0</v>
      </c>
    </row>
    <row r="314" spans="1:15" x14ac:dyDescent="0.35">
      <c r="A314">
        <v>41399</v>
      </c>
      <c r="B314">
        <v>1424</v>
      </c>
      <c r="C314" t="s">
        <v>26</v>
      </c>
      <c r="D314" t="s">
        <v>30</v>
      </c>
      <c r="E314" t="s">
        <v>29</v>
      </c>
      <c r="F314">
        <v>6</v>
      </c>
      <c r="G314">
        <v>7632</v>
      </c>
      <c r="H314">
        <v>2415.5280000000002</v>
      </c>
      <c r="K314" t="str">
        <f t="shared" si="12"/>
        <v>2.5%</v>
      </c>
      <c r="L314" t="str">
        <f t="shared" si="13"/>
        <v>Need Improvement</v>
      </c>
      <c r="M314" t="b">
        <f>TRUE()</f>
        <v>1</v>
      </c>
      <c r="N314" t="b">
        <f>FALSE()</f>
        <v>0</v>
      </c>
      <c r="O314" s="18" t="b">
        <f t="shared" si="14"/>
        <v>0</v>
      </c>
    </row>
    <row r="315" spans="1:15" x14ac:dyDescent="0.35">
      <c r="A315">
        <v>41400</v>
      </c>
      <c r="B315">
        <v>1425</v>
      </c>
      <c r="C315" t="s">
        <v>27</v>
      </c>
      <c r="D315" t="s">
        <v>30</v>
      </c>
      <c r="E315" t="s">
        <v>25</v>
      </c>
      <c r="F315">
        <v>9</v>
      </c>
      <c r="G315">
        <v>10476</v>
      </c>
      <c r="H315">
        <v>4955.1480000000001</v>
      </c>
      <c r="K315" t="str">
        <f t="shared" si="12"/>
        <v>5%</v>
      </c>
      <c r="L315" t="str">
        <f t="shared" si="13"/>
        <v>Good</v>
      </c>
      <c r="M315" t="b">
        <f>TRUE()</f>
        <v>1</v>
      </c>
      <c r="N315" t="b">
        <f>FALSE()</f>
        <v>0</v>
      </c>
      <c r="O315" s="18" t="b">
        <f t="shared" si="14"/>
        <v>0</v>
      </c>
    </row>
    <row r="316" spans="1:15" x14ac:dyDescent="0.35">
      <c r="A316">
        <v>41401</v>
      </c>
      <c r="B316">
        <v>1426</v>
      </c>
      <c r="C316" t="s">
        <v>23</v>
      </c>
      <c r="D316" t="s">
        <v>30</v>
      </c>
      <c r="E316" t="s">
        <v>25</v>
      </c>
      <c r="F316">
        <v>7</v>
      </c>
      <c r="G316">
        <v>6930</v>
      </c>
      <c r="H316">
        <v>703.74149999999997</v>
      </c>
      <c r="K316" t="str">
        <f t="shared" si="12"/>
        <v>2.5%</v>
      </c>
      <c r="L316" t="str">
        <f t="shared" si="13"/>
        <v>Need Improvement</v>
      </c>
      <c r="M316" t="b">
        <f>TRUE()</f>
        <v>1</v>
      </c>
      <c r="N316" t="b">
        <f>FALSE()</f>
        <v>0</v>
      </c>
      <c r="O316" s="18" t="b">
        <f t="shared" si="14"/>
        <v>0</v>
      </c>
    </row>
    <row r="317" spans="1:15" x14ac:dyDescent="0.35">
      <c r="A317">
        <v>41767</v>
      </c>
      <c r="B317">
        <v>1427</v>
      </c>
      <c r="C317" t="s">
        <v>26</v>
      </c>
      <c r="D317" t="s">
        <v>30</v>
      </c>
      <c r="E317" t="s">
        <v>25</v>
      </c>
      <c r="F317">
        <v>8</v>
      </c>
      <c r="G317">
        <v>10380</v>
      </c>
      <c r="H317">
        <v>2044.6523999999999</v>
      </c>
      <c r="K317" t="str">
        <f t="shared" si="12"/>
        <v>5%</v>
      </c>
      <c r="L317" t="str">
        <f t="shared" si="13"/>
        <v>Good</v>
      </c>
      <c r="M317" t="b">
        <f>TRUE()</f>
        <v>1</v>
      </c>
      <c r="N317" t="b">
        <f>FALSE()</f>
        <v>0</v>
      </c>
      <c r="O317" s="18" t="b">
        <f t="shared" si="14"/>
        <v>0</v>
      </c>
    </row>
    <row r="318" spans="1:15" x14ac:dyDescent="0.35">
      <c r="A318">
        <v>41768</v>
      </c>
      <c r="B318">
        <v>1428</v>
      </c>
      <c r="C318" t="s">
        <v>27</v>
      </c>
      <c r="D318" t="s">
        <v>30</v>
      </c>
      <c r="E318" t="s">
        <v>28</v>
      </c>
      <c r="F318">
        <v>7</v>
      </c>
      <c r="G318">
        <v>11088</v>
      </c>
      <c r="H318">
        <v>3463.8912</v>
      </c>
      <c r="K318" t="str">
        <f t="shared" si="12"/>
        <v>5%</v>
      </c>
      <c r="L318" t="str">
        <f t="shared" si="13"/>
        <v>Good</v>
      </c>
      <c r="M318" t="b">
        <f>TRUE()</f>
        <v>1</v>
      </c>
      <c r="N318" t="b">
        <f>FALSE()</f>
        <v>0</v>
      </c>
      <c r="O318" s="18" t="b">
        <f t="shared" si="14"/>
        <v>0</v>
      </c>
    </row>
    <row r="319" spans="1:15" x14ac:dyDescent="0.35">
      <c r="A319">
        <v>41769</v>
      </c>
      <c r="B319">
        <v>1429</v>
      </c>
      <c r="C319" t="s">
        <v>23</v>
      </c>
      <c r="D319" t="s">
        <v>30</v>
      </c>
      <c r="E319" t="s">
        <v>28</v>
      </c>
      <c r="F319">
        <v>6</v>
      </c>
      <c r="G319">
        <v>5535</v>
      </c>
      <c r="H319">
        <v>3875.4224999999997</v>
      </c>
      <c r="K319" t="str">
        <f t="shared" si="12"/>
        <v>2.5%</v>
      </c>
      <c r="L319" t="str">
        <f t="shared" si="13"/>
        <v>Need Improvement</v>
      </c>
      <c r="M319" t="b">
        <f>TRUE()</f>
        <v>1</v>
      </c>
      <c r="N319" t="b">
        <f>FALSE()</f>
        <v>0</v>
      </c>
      <c r="O319" s="18" t="b">
        <f t="shared" si="14"/>
        <v>0</v>
      </c>
    </row>
    <row r="320" spans="1:15" x14ac:dyDescent="0.35">
      <c r="A320">
        <v>41770</v>
      </c>
      <c r="B320">
        <v>1430</v>
      </c>
      <c r="C320" t="s">
        <v>26</v>
      </c>
      <c r="D320" t="s">
        <v>30</v>
      </c>
      <c r="E320" t="s">
        <v>28</v>
      </c>
      <c r="F320">
        <v>9</v>
      </c>
      <c r="G320">
        <v>5058</v>
      </c>
      <c r="H320">
        <v>1083.9294</v>
      </c>
      <c r="K320" t="str">
        <f t="shared" si="12"/>
        <v>2.5%</v>
      </c>
      <c r="L320" t="str">
        <f t="shared" si="13"/>
        <v>Need Improvement</v>
      </c>
      <c r="M320" t="b">
        <f>TRUE()</f>
        <v>1</v>
      </c>
      <c r="N320" t="b">
        <f>FALSE()</f>
        <v>0</v>
      </c>
      <c r="O320" s="18" t="b">
        <f t="shared" si="14"/>
        <v>0</v>
      </c>
    </row>
    <row r="321" spans="1:15" x14ac:dyDescent="0.35">
      <c r="A321">
        <v>41771</v>
      </c>
      <c r="B321">
        <v>1431</v>
      </c>
      <c r="C321" t="s">
        <v>27</v>
      </c>
      <c r="D321" t="s">
        <v>30</v>
      </c>
      <c r="E321" t="s">
        <v>29</v>
      </c>
      <c r="F321">
        <v>8</v>
      </c>
      <c r="G321">
        <v>11680</v>
      </c>
      <c r="H321">
        <v>1725.8368</v>
      </c>
      <c r="K321" t="str">
        <f t="shared" si="12"/>
        <v>5%</v>
      </c>
      <c r="L321" t="str">
        <f t="shared" si="13"/>
        <v>Good</v>
      </c>
      <c r="M321" t="b">
        <f>TRUE()</f>
        <v>1</v>
      </c>
      <c r="N321" t="b">
        <f>FALSE()</f>
        <v>0</v>
      </c>
      <c r="O321" s="18" t="b">
        <f t="shared" si="14"/>
        <v>0</v>
      </c>
    </row>
    <row r="322" spans="1:15" x14ac:dyDescent="0.35">
      <c r="A322">
        <v>41772</v>
      </c>
      <c r="B322">
        <v>1432</v>
      </c>
      <c r="C322" t="s">
        <v>23</v>
      </c>
      <c r="D322" t="s">
        <v>30</v>
      </c>
      <c r="E322" t="s">
        <v>29</v>
      </c>
      <c r="F322">
        <v>6</v>
      </c>
      <c r="G322">
        <v>9684</v>
      </c>
      <c r="H322">
        <v>833.55029999999999</v>
      </c>
      <c r="K322" t="str">
        <f t="shared" si="12"/>
        <v>2.5%</v>
      </c>
      <c r="L322" t="str">
        <f t="shared" si="13"/>
        <v>Need Improvement</v>
      </c>
      <c r="M322" t="b">
        <f>TRUE()</f>
        <v>1</v>
      </c>
      <c r="N322" t="b">
        <f>FALSE()</f>
        <v>0</v>
      </c>
      <c r="O322" s="18" t="b">
        <f t="shared" si="14"/>
        <v>0</v>
      </c>
    </row>
    <row r="323" spans="1:15" x14ac:dyDescent="0.35">
      <c r="A323">
        <v>41773</v>
      </c>
      <c r="B323">
        <v>1433</v>
      </c>
      <c r="C323" t="s">
        <v>26</v>
      </c>
      <c r="D323" t="s">
        <v>30</v>
      </c>
      <c r="E323" t="s">
        <v>29</v>
      </c>
      <c r="F323">
        <v>8</v>
      </c>
      <c r="G323">
        <v>4176</v>
      </c>
      <c r="H323">
        <v>1383.9264000000001</v>
      </c>
      <c r="K323" t="str">
        <f t="shared" ref="K323:K386" si="15">IF(G323&gt;10000,"5%",IF(AND(G323&gt;=5000,G323&lt;10000),"2.5%","1.5%"))</f>
        <v>1.5%</v>
      </c>
      <c r="L323" t="str">
        <f t="shared" ref="L323:L386" si="16">IF(OR(G323&gt;10000,H323&gt;=5000),"Good","Need Improvement")</f>
        <v>Need Improvement</v>
      </c>
      <c r="M323" t="b">
        <f>TRUE()</f>
        <v>1</v>
      </c>
      <c r="N323" t="b">
        <f>FALSE()</f>
        <v>0</v>
      </c>
      <c r="O323" s="18" t="b">
        <f t="shared" ref="O323:O386" si="17">NOT(M323)</f>
        <v>0</v>
      </c>
    </row>
    <row r="324" spans="1:15" x14ac:dyDescent="0.35">
      <c r="A324">
        <v>41774</v>
      </c>
      <c r="B324">
        <v>1434</v>
      </c>
      <c r="C324" t="s">
        <v>27</v>
      </c>
      <c r="D324" t="s">
        <v>30</v>
      </c>
      <c r="E324" t="s">
        <v>25</v>
      </c>
      <c r="F324">
        <v>10</v>
      </c>
      <c r="G324">
        <v>6345</v>
      </c>
      <c r="H324">
        <v>724.81050000000005</v>
      </c>
      <c r="K324" t="str">
        <f t="shared" si="15"/>
        <v>2.5%</v>
      </c>
      <c r="L324" t="str">
        <f t="shared" si="16"/>
        <v>Need Improvement</v>
      </c>
      <c r="M324" t="b">
        <f>TRUE()</f>
        <v>1</v>
      </c>
      <c r="N324" t="b">
        <f>FALSE()</f>
        <v>0</v>
      </c>
      <c r="O324" s="18" t="b">
        <f t="shared" si="17"/>
        <v>0</v>
      </c>
    </row>
    <row r="325" spans="1:15" x14ac:dyDescent="0.35">
      <c r="A325">
        <v>41775</v>
      </c>
      <c r="B325">
        <v>1435</v>
      </c>
      <c r="C325" t="s">
        <v>23</v>
      </c>
      <c r="D325" t="s">
        <v>30</v>
      </c>
      <c r="E325" t="s">
        <v>25</v>
      </c>
      <c r="F325">
        <v>9</v>
      </c>
      <c r="G325">
        <v>9126</v>
      </c>
      <c r="H325">
        <v>1822.4621999999999</v>
      </c>
      <c r="K325" t="str">
        <f t="shared" si="15"/>
        <v>2.5%</v>
      </c>
      <c r="L325" t="str">
        <f t="shared" si="16"/>
        <v>Need Improvement</v>
      </c>
      <c r="M325" t="b">
        <f>TRUE()</f>
        <v>1</v>
      </c>
      <c r="N325" t="b">
        <f>FALSE()</f>
        <v>0</v>
      </c>
      <c r="O325" s="18" t="b">
        <f t="shared" si="17"/>
        <v>0</v>
      </c>
    </row>
    <row r="326" spans="1:15" x14ac:dyDescent="0.35">
      <c r="A326">
        <v>41776</v>
      </c>
      <c r="B326">
        <v>1436</v>
      </c>
      <c r="C326" t="s">
        <v>26</v>
      </c>
      <c r="D326" t="s">
        <v>30</v>
      </c>
      <c r="E326" t="s">
        <v>25</v>
      </c>
      <c r="F326">
        <v>9</v>
      </c>
      <c r="G326">
        <v>11205</v>
      </c>
      <c r="H326">
        <v>4979.5020000000004</v>
      </c>
      <c r="K326" t="str">
        <f t="shared" si="15"/>
        <v>5%</v>
      </c>
      <c r="L326" t="str">
        <f t="shared" si="16"/>
        <v>Good</v>
      </c>
      <c r="M326" t="b">
        <f>TRUE()</f>
        <v>1</v>
      </c>
      <c r="N326" t="b">
        <f>FALSE()</f>
        <v>0</v>
      </c>
      <c r="O326" s="18" t="b">
        <f t="shared" si="17"/>
        <v>0</v>
      </c>
    </row>
    <row r="327" spans="1:15" x14ac:dyDescent="0.35">
      <c r="A327">
        <v>41777</v>
      </c>
      <c r="B327">
        <v>1437</v>
      </c>
      <c r="C327" t="s">
        <v>27</v>
      </c>
      <c r="D327" t="s">
        <v>30</v>
      </c>
      <c r="E327" t="s">
        <v>28</v>
      </c>
      <c r="F327">
        <v>10</v>
      </c>
      <c r="G327">
        <v>6150</v>
      </c>
      <c r="H327">
        <v>1254.5999999999999</v>
      </c>
      <c r="K327" t="str">
        <f t="shared" si="15"/>
        <v>2.5%</v>
      </c>
      <c r="L327" t="str">
        <f t="shared" si="16"/>
        <v>Need Improvement</v>
      </c>
      <c r="M327" t="b">
        <f>TRUE()</f>
        <v>1</v>
      </c>
      <c r="N327" t="b">
        <f>FALSE()</f>
        <v>0</v>
      </c>
      <c r="O327" s="18" t="b">
        <f t="shared" si="17"/>
        <v>0</v>
      </c>
    </row>
    <row r="328" spans="1:15" x14ac:dyDescent="0.35">
      <c r="A328">
        <v>41778</v>
      </c>
      <c r="B328">
        <v>1438</v>
      </c>
      <c r="C328" t="s">
        <v>23</v>
      </c>
      <c r="D328" t="s">
        <v>30</v>
      </c>
      <c r="E328" t="s">
        <v>28</v>
      </c>
      <c r="F328">
        <v>8</v>
      </c>
      <c r="G328">
        <v>10860</v>
      </c>
      <c r="H328">
        <v>3724.9800000000005</v>
      </c>
      <c r="K328" t="str">
        <f t="shared" si="15"/>
        <v>5%</v>
      </c>
      <c r="L328" t="str">
        <f t="shared" si="16"/>
        <v>Good</v>
      </c>
      <c r="M328" t="b">
        <f>TRUE()</f>
        <v>1</v>
      </c>
      <c r="N328" t="b">
        <f>FALSE()</f>
        <v>0</v>
      </c>
      <c r="O328" s="18" t="b">
        <f t="shared" si="17"/>
        <v>0</v>
      </c>
    </row>
    <row r="329" spans="1:15" x14ac:dyDescent="0.35">
      <c r="A329">
        <v>41779</v>
      </c>
      <c r="B329">
        <v>1439</v>
      </c>
      <c r="C329" t="s">
        <v>26</v>
      </c>
      <c r="D329" t="s">
        <v>30</v>
      </c>
      <c r="E329" t="s">
        <v>28</v>
      </c>
      <c r="F329">
        <v>10</v>
      </c>
      <c r="G329">
        <v>8775</v>
      </c>
      <c r="H329">
        <v>3239.7299999999996</v>
      </c>
      <c r="K329" t="str">
        <f t="shared" si="15"/>
        <v>2.5%</v>
      </c>
      <c r="L329" t="str">
        <f t="shared" si="16"/>
        <v>Need Improvement</v>
      </c>
      <c r="M329" t="b">
        <f>TRUE()</f>
        <v>1</v>
      </c>
      <c r="N329" t="b">
        <f>FALSE()</f>
        <v>0</v>
      </c>
      <c r="O329" s="18" t="b">
        <f t="shared" si="17"/>
        <v>0</v>
      </c>
    </row>
    <row r="330" spans="1:15" x14ac:dyDescent="0.35">
      <c r="A330">
        <v>41780</v>
      </c>
      <c r="B330">
        <v>1440</v>
      </c>
      <c r="C330" t="s">
        <v>27</v>
      </c>
      <c r="D330" t="s">
        <v>30</v>
      </c>
      <c r="E330" t="s">
        <v>29</v>
      </c>
      <c r="F330">
        <v>6</v>
      </c>
      <c r="G330">
        <v>7317</v>
      </c>
      <c r="H330">
        <v>3698.4996000000001</v>
      </c>
      <c r="K330" t="str">
        <f t="shared" si="15"/>
        <v>2.5%</v>
      </c>
      <c r="L330" t="str">
        <f t="shared" si="16"/>
        <v>Need Improvement</v>
      </c>
      <c r="M330" t="b">
        <f>TRUE()</f>
        <v>1</v>
      </c>
      <c r="N330" t="b">
        <f>FALSE()</f>
        <v>0</v>
      </c>
      <c r="O330" s="18" t="b">
        <f t="shared" si="17"/>
        <v>0</v>
      </c>
    </row>
    <row r="331" spans="1:15" x14ac:dyDescent="0.35">
      <c r="A331">
        <v>41781</v>
      </c>
      <c r="B331">
        <v>1441</v>
      </c>
      <c r="C331" t="s">
        <v>23</v>
      </c>
      <c r="D331" t="s">
        <v>30</v>
      </c>
      <c r="E331" t="s">
        <v>29</v>
      </c>
      <c r="F331">
        <v>9</v>
      </c>
      <c r="G331">
        <v>6885</v>
      </c>
      <c r="H331">
        <v>2968.1235000000001</v>
      </c>
      <c r="K331" t="str">
        <f t="shared" si="15"/>
        <v>2.5%</v>
      </c>
      <c r="L331" t="str">
        <f t="shared" si="16"/>
        <v>Need Improvement</v>
      </c>
      <c r="M331" t="b">
        <f>TRUE()</f>
        <v>1</v>
      </c>
      <c r="N331" t="b">
        <f>FALSE()</f>
        <v>0</v>
      </c>
      <c r="O331" s="18" t="b">
        <f t="shared" si="17"/>
        <v>0</v>
      </c>
    </row>
    <row r="332" spans="1:15" x14ac:dyDescent="0.35">
      <c r="A332">
        <v>41782</v>
      </c>
      <c r="B332">
        <v>1442</v>
      </c>
      <c r="C332" t="s">
        <v>26</v>
      </c>
      <c r="D332" t="s">
        <v>30</v>
      </c>
      <c r="E332" t="s">
        <v>29</v>
      </c>
      <c r="F332">
        <v>8</v>
      </c>
      <c r="G332">
        <v>4608</v>
      </c>
      <c r="H332">
        <v>2087.424</v>
      </c>
      <c r="K332" t="str">
        <f t="shared" si="15"/>
        <v>1.5%</v>
      </c>
      <c r="L332" t="str">
        <f t="shared" si="16"/>
        <v>Need Improvement</v>
      </c>
      <c r="M332" t="b">
        <f>TRUE()</f>
        <v>1</v>
      </c>
      <c r="N332" t="b">
        <f>FALSE()</f>
        <v>0</v>
      </c>
      <c r="O332" s="18" t="b">
        <f t="shared" si="17"/>
        <v>0</v>
      </c>
    </row>
    <row r="333" spans="1:15" x14ac:dyDescent="0.35">
      <c r="A333">
        <v>41783</v>
      </c>
      <c r="B333">
        <v>1443</v>
      </c>
      <c r="C333" t="s">
        <v>27</v>
      </c>
      <c r="D333" t="s">
        <v>30</v>
      </c>
      <c r="E333" t="s">
        <v>25</v>
      </c>
      <c r="F333">
        <v>8</v>
      </c>
      <c r="G333">
        <v>6960</v>
      </c>
      <c r="H333">
        <v>1524.9359999999999</v>
      </c>
      <c r="K333" t="str">
        <f t="shared" si="15"/>
        <v>2.5%</v>
      </c>
      <c r="L333" t="str">
        <f t="shared" si="16"/>
        <v>Need Improvement</v>
      </c>
      <c r="M333" t="b">
        <f>TRUE()</f>
        <v>1</v>
      </c>
      <c r="N333" t="b">
        <f>FALSE()</f>
        <v>0</v>
      </c>
      <c r="O333" s="18" t="b">
        <f t="shared" si="17"/>
        <v>0</v>
      </c>
    </row>
    <row r="334" spans="1:15" x14ac:dyDescent="0.35">
      <c r="A334">
        <v>41784</v>
      </c>
      <c r="B334">
        <v>1444</v>
      </c>
      <c r="C334" t="s">
        <v>23</v>
      </c>
      <c r="D334" t="s">
        <v>30</v>
      </c>
      <c r="E334" t="s">
        <v>25</v>
      </c>
      <c r="F334">
        <v>10</v>
      </c>
      <c r="G334">
        <v>4940</v>
      </c>
      <c r="H334">
        <v>3269.2920000000004</v>
      </c>
      <c r="K334" t="str">
        <f t="shared" si="15"/>
        <v>1.5%</v>
      </c>
      <c r="L334" t="str">
        <f t="shared" si="16"/>
        <v>Need Improvement</v>
      </c>
      <c r="M334" t="b">
        <f>TRUE()</f>
        <v>1</v>
      </c>
      <c r="N334" t="b">
        <f>FALSE()</f>
        <v>0</v>
      </c>
      <c r="O334" s="18" t="b">
        <f t="shared" si="17"/>
        <v>0</v>
      </c>
    </row>
    <row r="335" spans="1:15" x14ac:dyDescent="0.35">
      <c r="A335">
        <v>41785</v>
      </c>
      <c r="B335">
        <v>1445</v>
      </c>
      <c r="C335" t="s">
        <v>26</v>
      </c>
      <c r="D335" t="s">
        <v>30</v>
      </c>
      <c r="E335" t="s">
        <v>25</v>
      </c>
      <c r="F335">
        <v>9</v>
      </c>
      <c r="G335">
        <v>4644</v>
      </c>
      <c r="H335">
        <v>840.7962</v>
      </c>
      <c r="K335" t="str">
        <f t="shared" si="15"/>
        <v>1.5%</v>
      </c>
      <c r="L335" t="str">
        <f t="shared" si="16"/>
        <v>Need Improvement</v>
      </c>
      <c r="M335" t="b">
        <f>TRUE()</f>
        <v>1</v>
      </c>
      <c r="N335" t="b">
        <f>FALSE()</f>
        <v>0</v>
      </c>
      <c r="O335" s="18" t="b">
        <f t="shared" si="17"/>
        <v>0</v>
      </c>
    </row>
    <row r="336" spans="1:15" x14ac:dyDescent="0.35">
      <c r="A336">
        <v>41786</v>
      </c>
      <c r="B336">
        <v>1446</v>
      </c>
      <c r="C336" t="s">
        <v>27</v>
      </c>
      <c r="D336" t="s">
        <v>30</v>
      </c>
      <c r="E336" t="s">
        <v>28</v>
      </c>
      <c r="F336">
        <v>9</v>
      </c>
      <c r="G336">
        <v>5040</v>
      </c>
      <c r="H336">
        <v>3241.7280000000001</v>
      </c>
      <c r="K336" t="str">
        <f t="shared" si="15"/>
        <v>2.5%</v>
      </c>
      <c r="L336" t="str">
        <f t="shared" si="16"/>
        <v>Need Improvement</v>
      </c>
      <c r="M336" t="b">
        <f>TRUE()</f>
        <v>1</v>
      </c>
      <c r="N336" t="b">
        <f>FALSE()</f>
        <v>0</v>
      </c>
      <c r="O336" s="18" t="b">
        <f t="shared" si="17"/>
        <v>0</v>
      </c>
    </row>
    <row r="337" spans="1:15" x14ac:dyDescent="0.35">
      <c r="A337">
        <v>41787</v>
      </c>
      <c r="B337">
        <v>1447</v>
      </c>
      <c r="C337" t="s">
        <v>23</v>
      </c>
      <c r="D337" t="s">
        <v>30</v>
      </c>
      <c r="E337" t="s">
        <v>28</v>
      </c>
      <c r="F337">
        <v>10</v>
      </c>
      <c r="G337">
        <v>3390</v>
      </c>
      <c r="H337">
        <v>601.72499999999991</v>
      </c>
      <c r="K337" t="str">
        <f t="shared" si="15"/>
        <v>1.5%</v>
      </c>
      <c r="L337" t="str">
        <f t="shared" si="16"/>
        <v>Need Improvement</v>
      </c>
      <c r="M337" t="b">
        <f>TRUE()</f>
        <v>1</v>
      </c>
      <c r="N337" t="b">
        <f>FALSE()</f>
        <v>0</v>
      </c>
      <c r="O337" s="18" t="b">
        <f t="shared" si="17"/>
        <v>0</v>
      </c>
    </row>
    <row r="338" spans="1:15" x14ac:dyDescent="0.35">
      <c r="A338">
        <v>41788</v>
      </c>
      <c r="B338">
        <v>1448</v>
      </c>
      <c r="C338" t="s">
        <v>26</v>
      </c>
      <c r="D338" t="s">
        <v>30</v>
      </c>
      <c r="E338" t="s">
        <v>28</v>
      </c>
      <c r="F338">
        <v>7</v>
      </c>
      <c r="G338">
        <v>2740.5</v>
      </c>
      <c r="H338">
        <v>1859.1551999999999</v>
      </c>
      <c r="K338" t="str">
        <f t="shared" si="15"/>
        <v>1.5%</v>
      </c>
      <c r="L338" t="str">
        <f t="shared" si="16"/>
        <v>Need Improvement</v>
      </c>
      <c r="M338" t="b">
        <f>TRUE()</f>
        <v>1</v>
      </c>
      <c r="N338" t="b">
        <f>FALSE()</f>
        <v>0</v>
      </c>
      <c r="O338" s="18" t="b">
        <f t="shared" si="17"/>
        <v>0</v>
      </c>
    </row>
    <row r="339" spans="1:15" x14ac:dyDescent="0.35">
      <c r="A339">
        <v>41789</v>
      </c>
      <c r="B339">
        <v>1449</v>
      </c>
      <c r="C339" t="s">
        <v>27</v>
      </c>
      <c r="D339" t="s">
        <v>30</v>
      </c>
      <c r="E339" t="s">
        <v>29</v>
      </c>
      <c r="F339">
        <v>9</v>
      </c>
      <c r="G339">
        <v>5454</v>
      </c>
      <c r="H339">
        <v>3256.8561</v>
      </c>
      <c r="K339" t="str">
        <f t="shared" si="15"/>
        <v>2.5%</v>
      </c>
      <c r="L339" t="str">
        <f t="shared" si="16"/>
        <v>Need Improvement</v>
      </c>
      <c r="M339" t="b">
        <f>TRUE()</f>
        <v>1</v>
      </c>
      <c r="N339" t="b">
        <f>FALSE()</f>
        <v>0</v>
      </c>
      <c r="O339" s="18" t="b">
        <f t="shared" si="17"/>
        <v>0</v>
      </c>
    </row>
    <row r="340" spans="1:15" x14ac:dyDescent="0.35">
      <c r="A340">
        <v>41790</v>
      </c>
      <c r="B340">
        <v>1450</v>
      </c>
      <c r="C340" t="s">
        <v>23</v>
      </c>
      <c r="D340" t="s">
        <v>30</v>
      </c>
      <c r="E340" t="s">
        <v>29</v>
      </c>
      <c r="F340">
        <v>7</v>
      </c>
      <c r="G340">
        <v>12337.5</v>
      </c>
      <c r="H340">
        <v>3086.8424999999993</v>
      </c>
      <c r="K340" t="str">
        <f t="shared" si="15"/>
        <v>5%</v>
      </c>
      <c r="L340" t="str">
        <f t="shared" si="16"/>
        <v>Good</v>
      </c>
      <c r="M340" t="b">
        <f>TRUE()</f>
        <v>1</v>
      </c>
      <c r="N340" t="b">
        <f>FALSE()</f>
        <v>0</v>
      </c>
      <c r="O340" s="18" t="b">
        <f t="shared" si="17"/>
        <v>0</v>
      </c>
    </row>
    <row r="341" spans="1:15" x14ac:dyDescent="0.35">
      <c r="A341">
        <v>41791</v>
      </c>
      <c r="B341">
        <v>1451</v>
      </c>
      <c r="C341" t="s">
        <v>26</v>
      </c>
      <c r="D341" t="s">
        <v>30</v>
      </c>
      <c r="E341" t="s">
        <v>29</v>
      </c>
      <c r="F341">
        <v>6</v>
      </c>
      <c r="G341">
        <v>9756</v>
      </c>
      <c r="H341">
        <v>1684.8612000000001</v>
      </c>
      <c r="K341" t="str">
        <f t="shared" si="15"/>
        <v>2.5%</v>
      </c>
      <c r="L341" t="str">
        <f t="shared" si="16"/>
        <v>Need Improvement</v>
      </c>
      <c r="M341" t="b">
        <f>TRUE()</f>
        <v>1</v>
      </c>
      <c r="N341" t="b">
        <f>FALSE()</f>
        <v>0</v>
      </c>
      <c r="O341" s="18" t="b">
        <f t="shared" si="17"/>
        <v>0</v>
      </c>
    </row>
    <row r="342" spans="1:15" x14ac:dyDescent="0.35">
      <c r="A342">
        <v>41792</v>
      </c>
      <c r="B342">
        <v>1452</v>
      </c>
      <c r="C342" t="s">
        <v>27</v>
      </c>
      <c r="D342" t="s">
        <v>30</v>
      </c>
      <c r="E342" t="s">
        <v>25</v>
      </c>
      <c r="F342">
        <v>7</v>
      </c>
      <c r="G342">
        <v>4851</v>
      </c>
      <c r="H342">
        <v>4334.8536000000004</v>
      </c>
      <c r="K342" t="str">
        <f t="shared" si="15"/>
        <v>1.5%</v>
      </c>
      <c r="L342" t="str">
        <f t="shared" si="16"/>
        <v>Need Improvement</v>
      </c>
      <c r="M342" t="b">
        <f>TRUE()</f>
        <v>1</v>
      </c>
      <c r="N342" t="b">
        <f>FALSE()</f>
        <v>0</v>
      </c>
      <c r="O342" s="18" t="b">
        <f t="shared" si="17"/>
        <v>0</v>
      </c>
    </row>
    <row r="343" spans="1:15" x14ac:dyDescent="0.35">
      <c r="A343">
        <v>41793</v>
      </c>
      <c r="B343">
        <v>1453</v>
      </c>
      <c r="C343" t="s">
        <v>23</v>
      </c>
      <c r="D343" t="s">
        <v>30</v>
      </c>
      <c r="E343" t="s">
        <v>25</v>
      </c>
      <c r="F343">
        <v>6</v>
      </c>
      <c r="G343">
        <v>2016</v>
      </c>
      <c r="H343">
        <v>3302.2080000000001</v>
      </c>
      <c r="K343" t="str">
        <f t="shared" si="15"/>
        <v>1.5%</v>
      </c>
      <c r="L343" t="str">
        <f t="shared" si="16"/>
        <v>Need Improvement</v>
      </c>
      <c r="M343" t="b">
        <f>TRUE()</f>
        <v>1</v>
      </c>
      <c r="N343" t="b">
        <f>FALSE()</f>
        <v>0</v>
      </c>
      <c r="O343" s="18" t="b">
        <f t="shared" si="17"/>
        <v>0</v>
      </c>
    </row>
    <row r="344" spans="1:15" x14ac:dyDescent="0.35">
      <c r="A344">
        <v>41794</v>
      </c>
      <c r="B344">
        <v>1454</v>
      </c>
      <c r="C344" t="s">
        <v>26</v>
      </c>
      <c r="D344" t="s">
        <v>30</v>
      </c>
      <c r="E344" t="s">
        <v>25</v>
      </c>
      <c r="F344">
        <v>9</v>
      </c>
      <c r="G344">
        <v>4806</v>
      </c>
      <c r="H344">
        <v>1068.6141</v>
      </c>
      <c r="K344" t="str">
        <f t="shared" si="15"/>
        <v>1.5%</v>
      </c>
      <c r="L344" t="str">
        <f t="shared" si="16"/>
        <v>Need Improvement</v>
      </c>
      <c r="M344" t="b">
        <f>TRUE()</f>
        <v>1</v>
      </c>
      <c r="N344" t="b">
        <f>FALSE()</f>
        <v>0</v>
      </c>
      <c r="O344" s="18" t="b">
        <f t="shared" si="17"/>
        <v>0</v>
      </c>
    </row>
    <row r="345" spans="1:15" x14ac:dyDescent="0.35">
      <c r="A345">
        <v>41795</v>
      </c>
      <c r="B345">
        <v>1455</v>
      </c>
      <c r="C345" t="s">
        <v>27</v>
      </c>
      <c r="D345" t="s">
        <v>30</v>
      </c>
      <c r="E345" t="s">
        <v>28</v>
      </c>
      <c r="F345">
        <v>9</v>
      </c>
      <c r="G345">
        <v>4716</v>
      </c>
      <c r="H345">
        <v>3319.1207999999997</v>
      </c>
      <c r="K345" t="str">
        <f t="shared" si="15"/>
        <v>1.5%</v>
      </c>
      <c r="L345" t="str">
        <f t="shared" si="16"/>
        <v>Need Improvement</v>
      </c>
      <c r="M345" t="b">
        <f>TRUE()</f>
        <v>1</v>
      </c>
      <c r="N345" t="b">
        <f>FALSE()</f>
        <v>0</v>
      </c>
      <c r="O345" s="18" t="b">
        <f t="shared" si="17"/>
        <v>0</v>
      </c>
    </row>
    <row r="346" spans="1:15" x14ac:dyDescent="0.35">
      <c r="A346">
        <v>41796</v>
      </c>
      <c r="B346">
        <v>1456</v>
      </c>
      <c r="C346" t="s">
        <v>23</v>
      </c>
      <c r="D346" t="s">
        <v>30</v>
      </c>
      <c r="E346" t="s">
        <v>28</v>
      </c>
      <c r="F346">
        <v>9</v>
      </c>
      <c r="G346">
        <v>11115</v>
      </c>
      <c r="H346">
        <v>2680.2710999999999</v>
      </c>
      <c r="K346" t="str">
        <f t="shared" si="15"/>
        <v>5%</v>
      </c>
      <c r="L346" t="str">
        <f t="shared" si="16"/>
        <v>Good</v>
      </c>
      <c r="M346" t="b">
        <f>TRUE()</f>
        <v>1</v>
      </c>
      <c r="N346" t="b">
        <f>FALSE()</f>
        <v>0</v>
      </c>
      <c r="O346" s="18" t="b">
        <f t="shared" si="17"/>
        <v>0</v>
      </c>
    </row>
    <row r="347" spans="1:15" x14ac:dyDescent="0.35">
      <c r="A347">
        <v>41797</v>
      </c>
      <c r="B347">
        <v>1457</v>
      </c>
      <c r="C347" t="s">
        <v>26</v>
      </c>
      <c r="D347" t="s">
        <v>30</v>
      </c>
      <c r="E347" t="s">
        <v>28</v>
      </c>
      <c r="F347">
        <v>6</v>
      </c>
      <c r="G347">
        <v>5224.5</v>
      </c>
      <c r="H347">
        <v>2312.712</v>
      </c>
      <c r="K347" t="str">
        <f t="shared" si="15"/>
        <v>2.5%</v>
      </c>
      <c r="L347" t="str">
        <f t="shared" si="16"/>
        <v>Need Improvement</v>
      </c>
      <c r="M347" t="b">
        <f>TRUE()</f>
        <v>1</v>
      </c>
      <c r="N347" t="b">
        <f>FALSE()</f>
        <v>0</v>
      </c>
      <c r="O347" s="18" t="b">
        <f t="shared" si="17"/>
        <v>0</v>
      </c>
    </row>
    <row r="348" spans="1:15" x14ac:dyDescent="0.35">
      <c r="A348">
        <v>41798</v>
      </c>
      <c r="B348">
        <v>1458</v>
      </c>
      <c r="C348" t="s">
        <v>27</v>
      </c>
      <c r="D348" t="s">
        <v>30</v>
      </c>
      <c r="E348" t="s">
        <v>29</v>
      </c>
      <c r="F348">
        <v>6</v>
      </c>
      <c r="G348">
        <v>4131</v>
      </c>
      <c r="H348">
        <v>2968.5365999999999</v>
      </c>
      <c r="K348" t="str">
        <f t="shared" si="15"/>
        <v>1.5%</v>
      </c>
      <c r="L348" t="str">
        <f t="shared" si="16"/>
        <v>Need Improvement</v>
      </c>
      <c r="M348" t="b">
        <f>TRUE()</f>
        <v>1</v>
      </c>
      <c r="N348" t="b">
        <f>FALSE()</f>
        <v>0</v>
      </c>
      <c r="O348" s="18" t="b">
        <f t="shared" si="17"/>
        <v>0</v>
      </c>
    </row>
    <row r="349" spans="1:15" x14ac:dyDescent="0.35">
      <c r="A349">
        <v>41799</v>
      </c>
      <c r="B349">
        <v>1459</v>
      </c>
      <c r="C349" t="s">
        <v>23</v>
      </c>
      <c r="D349" t="s">
        <v>30</v>
      </c>
      <c r="E349" t="s">
        <v>29</v>
      </c>
      <c r="F349">
        <v>6</v>
      </c>
      <c r="G349">
        <v>2808</v>
      </c>
      <c r="H349">
        <v>2322.2159999999994</v>
      </c>
      <c r="K349" t="str">
        <f t="shared" si="15"/>
        <v>1.5%</v>
      </c>
      <c r="L349" t="str">
        <f t="shared" si="16"/>
        <v>Need Improvement</v>
      </c>
      <c r="M349" t="b">
        <f>TRUE()</f>
        <v>1</v>
      </c>
      <c r="N349" t="b">
        <f>FALSE()</f>
        <v>0</v>
      </c>
      <c r="O349" s="18" t="b">
        <f t="shared" si="17"/>
        <v>0</v>
      </c>
    </row>
    <row r="350" spans="1:15" x14ac:dyDescent="0.35">
      <c r="A350">
        <v>41800</v>
      </c>
      <c r="B350">
        <v>1460</v>
      </c>
      <c r="C350" t="s">
        <v>26</v>
      </c>
      <c r="D350" t="s">
        <v>30</v>
      </c>
      <c r="E350" t="s">
        <v>29</v>
      </c>
      <c r="F350">
        <v>7</v>
      </c>
      <c r="G350">
        <v>1564.5</v>
      </c>
      <c r="H350">
        <v>2080.7849999999999</v>
      </c>
      <c r="K350" t="str">
        <f t="shared" si="15"/>
        <v>1.5%</v>
      </c>
      <c r="L350" t="str">
        <f t="shared" si="16"/>
        <v>Need Improvement</v>
      </c>
      <c r="M350" t="b">
        <f>TRUE()</f>
        <v>1</v>
      </c>
      <c r="N350" t="b">
        <f>FALSE()</f>
        <v>0</v>
      </c>
      <c r="O350" s="18" t="b">
        <f t="shared" si="17"/>
        <v>0</v>
      </c>
    </row>
    <row r="351" spans="1:15" x14ac:dyDescent="0.35">
      <c r="A351">
        <v>41801</v>
      </c>
      <c r="B351">
        <v>1461</v>
      </c>
      <c r="C351" t="s">
        <v>27</v>
      </c>
      <c r="D351" t="s">
        <v>30</v>
      </c>
      <c r="E351" t="s">
        <v>25</v>
      </c>
      <c r="F351">
        <v>8</v>
      </c>
      <c r="G351">
        <v>11088</v>
      </c>
      <c r="H351">
        <v>3958.4160000000002</v>
      </c>
      <c r="K351" t="str">
        <f t="shared" si="15"/>
        <v>5%</v>
      </c>
      <c r="L351" t="str">
        <f t="shared" si="16"/>
        <v>Good</v>
      </c>
      <c r="M351" t="b">
        <f>TRUE()</f>
        <v>1</v>
      </c>
      <c r="N351" t="b">
        <f>FALSE()</f>
        <v>0</v>
      </c>
      <c r="O351" s="18" t="b">
        <f t="shared" si="17"/>
        <v>0</v>
      </c>
    </row>
    <row r="352" spans="1:15" x14ac:dyDescent="0.35">
      <c r="A352">
        <v>41802</v>
      </c>
      <c r="B352">
        <v>1462</v>
      </c>
      <c r="C352" t="s">
        <v>23</v>
      </c>
      <c r="D352" t="s">
        <v>30</v>
      </c>
      <c r="E352" t="s">
        <v>25</v>
      </c>
      <c r="F352">
        <v>10</v>
      </c>
      <c r="G352">
        <v>11640</v>
      </c>
      <c r="H352">
        <v>2337.3119999999999</v>
      </c>
      <c r="K352" t="str">
        <f t="shared" si="15"/>
        <v>5%</v>
      </c>
      <c r="L352" t="str">
        <f t="shared" si="16"/>
        <v>Good</v>
      </c>
      <c r="M352" t="b">
        <f>TRUE()</f>
        <v>1</v>
      </c>
      <c r="N352" t="b">
        <f>FALSE()</f>
        <v>0</v>
      </c>
      <c r="O352" s="18" t="b">
        <f t="shared" si="17"/>
        <v>0</v>
      </c>
    </row>
    <row r="353" spans="1:15" x14ac:dyDescent="0.35">
      <c r="A353">
        <v>41803</v>
      </c>
      <c r="B353">
        <v>1463</v>
      </c>
      <c r="C353" t="s">
        <v>26</v>
      </c>
      <c r="D353" t="s">
        <v>30</v>
      </c>
      <c r="E353" t="s">
        <v>25</v>
      </c>
      <c r="F353">
        <v>6</v>
      </c>
      <c r="G353">
        <v>6804</v>
      </c>
      <c r="H353">
        <v>2270.3247000000001</v>
      </c>
      <c r="K353" t="str">
        <f t="shared" si="15"/>
        <v>2.5%</v>
      </c>
      <c r="L353" t="str">
        <f t="shared" si="16"/>
        <v>Need Improvement</v>
      </c>
      <c r="M353" t="b">
        <f>TRUE()</f>
        <v>1</v>
      </c>
      <c r="N353" t="b">
        <f>FALSE()</f>
        <v>0</v>
      </c>
      <c r="O353" s="18" t="b">
        <f t="shared" si="17"/>
        <v>0</v>
      </c>
    </row>
    <row r="354" spans="1:15" x14ac:dyDescent="0.35">
      <c r="A354">
        <v>41804</v>
      </c>
      <c r="B354">
        <v>1464</v>
      </c>
      <c r="C354" t="s">
        <v>27</v>
      </c>
      <c r="D354" t="s">
        <v>30</v>
      </c>
      <c r="E354" t="s">
        <v>28</v>
      </c>
      <c r="F354">
        <v>10</v>
      </c>
      <c r="G354">
        <v>7860</v>
      </c>
      <c r="H354">
        <v>1799.94</v>
      </c>
      <c r="K354" t="str">
        <f t="shared" si="15"/>
        <v>2.5%</v>
      </c>
      <c r="L354" t="str">
        <f t="shared" si="16"/>
        <v>Need Improvement</v>
      </c>
      <c r="M354" t="b">
        <f>TRUE()</f>
        <v>1</v>
      </c>
      <c r="N354" t="b">
        <f>FALSE()</f>
        <v>0</v>
      </c>
      <c r="O354" s="18" t="b">
        <f t="shared" si="17"/>
        <v>0</v>
      </c>
    </row>
    <row r="355" spans="1:15" x14ac:dyDescent="0.35">
      <c r="A355">
        <v>41805</v>
      </c>
      <c r="B355">
        <v>1465</v>
      </c>
      <c r="C355" t="s">
        <v>23</v>
      </c>
      <c r="D355" t="s">
        <v>30</v>
      </c>
      <c r="E355" t="s">
        <v>28</v>
      </c>
      <c r="F355">
        <v>8</v>
      </c>
      <c r="G355">
        <v>7296</v>
      </c>
      <c r="H355">
        <v>696.03840000000002</v>
      </c>
      <c r="K355" t="str">
        <f t="shared" si="15"/>
        <v>2.5%</v>
      </c>
      <c r="L355" t="str">
        <f t="shared" si="16"/>
        <v>Need Improvement</v>
      </c>
      <c r="M355" t="b">
        <f>TRUE()</f>
        <v>1</v>
      </c>
      <c r="N355" t="b">
        <f>FALSE()</f>
        <v>0</v>
      </c>
      <c r="O355" s="18" t="b">
        <f t="shared" si="17"/>
        <v>0</v>
      </c>
    </row>
    <row r="356" spans="1:15" x14ac:dyDescent="0.35">
      <c r="A356">
        <v>41806</v>
      </c>
      <c r="B356">
        <v>1466</v>
      </c>
      <c r="C356" t="s">
        <v>26</v>
      </c>
      <c r="D356" t="s">
        <v>30</v>
      </c>
      <c r="E356" t="s">
        <v>28</v>
      </c>
      <c r="F356">
        <v>9</v>
      </c>
      <c r="G356">
        <v>9585</v>
      </c>
      <c r="H356">
        <v>1396.3428000000001</v>
      </c>
      <c r="K356" t="str">
        <f t="shared" si="15"/>
        <v>2.5%</v>
      </c>
      <c r="L356" t="str">
        <f t="shared" si="16"/>
        <v>Need Improvement</v>
      </c>
      <c r="M356" t="b">
        <f>TRUE()</f>
        <v>1</v>
      </c>
      <c r="N356" t="b">
        <f>FALSE()</f>
        <v>0</v>
      </c>
      <c r="O356" s="18" t="b">
        <f t="shared" si="17"/>
        <v>0</v>
      </c>
    </row>
    <row r="357" spans="1:15" x14ac:dyDescent="0.35">
      <c r="A357">
        <v>41807</v>
      </c>
      <c r="B357">
        <v>1467</v>
      </c>
      <c r="C357" t="s">
        <v>27</v>
      </c>
      <c r="D357" t="s">
        <v>30</v>
      </c>
      <c r="E357" t="s">
        <v>29</v>
      </c>
      <c r="F357">
        <v>6</v>
      </c>
      <c r="G357">
        <v>4860</v>
      </c>
      <c r="H357">
        <v>584.17200000000003</v>
      </c>
      <c r="K357" t="str">
        <f t="shared" si="15"/>
        <v>1.5%</v>
      </c>
      <c r="L357" t="str">
        <f t="shared" si="16"/>
        <v>Need Improvement</v>
      </c>
      <c r="M357" t="b">
        <f>TRUE()</f>
        <v>1</v>
      </c>
      <c r="N357" t="b">
        <f>FALSE()</f>
        <v>0</v>
      </c>
      <c r="O357" s="18" t="b">
        <f t="shared" si="17"/>
        <v>0</v>
      </c>
    </row>
    <row r="358" spans="1:15" x14ac:dyDescent="0.35">
      <c r="A358">
        <v>41808</v>
      </c>
      <c r="B358">
        <v>1468</v>
      </c>
      <c r="C358" t="s">
        <v>23</v>
      </c>
      <c r="D358" t="s">
        <v>30</v>
      </c>
      <c r="E358" t="s">
        <v>29</v>
      </c>
      <c r="F358">
        <v>9</v>
      </c>
      <c r="G358">
        <v>3267</v>
      </c>
      <c r="H358">
        <v>1181.0205000000001</v>
      </c>
      <c r="K358" t="str">
        <f t="shared" si="15"/>
        <v>1.5%</v>
      </c>
      <c r="L358" t="str">
        <f t="shared" si="16"/>
        <v>Need Improvement</v>
      </c>
      <c r="M358" t="b">
        <f>TRUE()</f>
        <v>1</v>
      </c>
      <c r="N358" t="b">
        <f>FALSE()</f>
        <v>0</v>
      </c>
      <c r="O358" s="18" t="b">
        <f t="shared" si="17"/>
        <v>0</v>
      </c>
    </row>
    <row r="359" spans="1:15" x14ac:dyDescent="0.35">
      <c r="A359">
        <v>41809</v>
      </c>
      <c r="B359">
        <v>1469</v>
      </c>
      <c r="C359" t="s">
        <v>26</v>
      </c>
      <c r="D359" t="s">
        <v>30</v>
      </c>
      <c r="E359" t="s">
        <v>29</v>
      </c>
      <c r="F359">
        <v>8</v>
      </c>
      <c r="G359">
        <v>6984</v>
      </c>
      <c r="H359">
        <v>1797.2159999999999</v>
      </c>
      <c r="K359" t="str">
        <f t="shared" si="15"/>
        <v>2.5%</v>
      </c>
      <c r="L359" t="str">
        <f t="shared" si="16"/>
        <v>Need Improvement</v>
      </c>
      <c r="M359" t="b">
        <f>TRUE()</f>
        <v>1</v>
      </c>
      <c r="N359" t="b">
        <f>FALSE()</f>
        <v>0</v>
      </c>
      <c r="O359" s="18" t="b">
        <f t="shared" si="17"/>
        <v>0</v>
      </c>
    </row>
    <row r="360" spans="1:15" x14ac:dyDescent="0.35">
      <c r="A360">
        <v>41810</v>
      </c>
      <c r="B360">
        <v>1470</v>
      </c>
      <c r="C360" t="s">
        <v>27</v>
      </c>
      <c r="D360" t="s">
        <v>30</v>
      </c>
      <c r="E360" t="s">
        <v>25</v>
      </c>
      <c r="F360">
        <v>9</v>
      </c>
      <c r="G360">
        <v>1539</v>
      </c>
      <c r="H360">
        <v>3237.2865000000002</v>
      </c>
      <c r="K360" t="str">
        <f t="shared" si="15"/>
        <v>1.5%</v>
      </c>
      <c r="L360" t="str">
        <f t="shared" si="16"/>
        <v>Need Improvement</v>
      </c>
      <c r="M360" t="b">
        <f>TRUE()</f>
        <v>1</v>
      </c>
      <c r="N360" t="b">
        <f>FALSE()</f>
        <v>0</v>
      </c>
      <c r="O360" s="18" t="b">
        <f t="shared" si="17"/>
        <v>0</v>
      </c>
    </row>
    <row r="361" spans="1:15" x14ac:dyDescent="0.35">
      <c r="A361">
        <v>41811</v>
      </c>
      <c r="B361">
        <v>1471</v>
      </c>
      <c r="C361" t="s">
        <v>23</v>
      </c>
      <c r="D361" t="s">
        <v>30</v>
      </c>
      <c r="E361" t="s">
        <v>25</v>
      </c>
      <c r="F361">
        <v>7</v>
      </c>
      <c r="G361">
        <v>3465</v>
      </c>
      <c r="H361">
        <v>1443.1725000000001</v>
      </c>
      <c r="K361" t="str">
        <f t="shared" si="15"/>
        <v>1.5%</v>
      </c>
      <c r="L361" t="str">
        <f t="shared" si="16"/>
        <v>Need Improvement</v>
      </c>
      <c r="M361" t="b">
        <f>TRUE()</f>
        <v>1</v>
      </c>
      <c r="N361" t="b">
        <f>FALSE()</f>
        <v>0</v>
      </c>
      <c r="O361" s="18" t="b">
        <f t="shared" si="17"/>
        <v>0</v>
      </c>
    </row>
    <row r="362" spans="1:15" x14ac:dyDescent="0.35">
      <c r="A362">
        <v>41812</v>
      </c>
      <c r="B362">
        <v>1472</v>
      </c>
      <c r="C362" t="s">
        <v>26</v>
      </c>
      <c r="D362" t="s">
        <v>30</v>
      </c>
      <c r="E362" t="s">
        <v>25</v>
      </c>
      <c r="F362">
        <v>9</v>
      </c>
      <c r="G362">
        <v>14512.5</v>
      </c>
      <c r="H362">
        <v>2066.58</v>
      </c>
      <c r="K362" t="str">
        <f t="shared" si="15"/>
        <v>5%</v>
      </c>
      <c r="L362" t="str">
        <f t="shared" si="16"/>
        <v>Good</v>
      </c>
      <c r="M362" t="b">
        <f>TRUE()</f>
        <v>1</v>
      </c>
      <c r="N362" t="b">
        <f>FALSE()</f>
        <v>0</v>
      </c>
      <c r="O362" s="18" t="b">
        <f t="shared" si="17"/>
        <v>0</v>
      </c>
    </row>
    <row r="363" spans="1:15" x14ac:dyDescent="0.35">
      <c r="A363">
        <v>41813</v>
      </c>
      <c r="B363">
        <v>1473</v>
      </c>
      <c r="C363" t="s">
        <v>27</v>
      </c>
      <c r="D363" t="s">
        <v>30</v>
      </c>
      <c r="E363" t="s">
        <v>28</v>
      </c>
      <c r="F363">
        <v>7</v>
      </c>
      <c r="G363">
        <v>5733</v>
      </c>
      <c r="H363">
        <v>4751.2237500000001</v>
      </c>
      <c r="K363" t="str">
        <f t="shared" si="15"/>
        <v>2.5%</v>
      </c>
      <c r="L363" t="str">
        <f t="shared" si="16"/>
        <v>Need Improvement</v>
      </c>
      <c r="M363" t="b">
        <f>TRUE()</f>
        <v>1</v>
      </c>
      <c r="N363" t="b">
        <f>FALSE()</f>
        <v>0</v>
      </c>
      <c r="O363" s="18" t="b">
        <f t="shared" si="17"/>
        <v>0</v>
      </c>
    </row>
    <row r="364" spans="1:15" x14ac:dyDescent="0.35">
      <c r="A364">
        <v>41814</v>
      </c>
      <c r="B364">
        <v>1474</v>
      </c>
      <c r="C364" t="s">
        <v>23</v>
      </c>
      <c r="D364" t="s">
        <v>30</v>
      </c>
      <c r="E364" t="s">
        <v>28</v>
      </c>
      <c r="F364">
        <v>6</v>
      </c>
      <c r="G364">
        <v>8316</v>
      </c>
      <c r="H364">
        <v>1538.8757999999998</v>
      </c>
      <c r="K364" t="str">
        <f t="shared" si="15"/>
        <v>2.5%</v>
      </c>
      <c r="L364" t="str">
        <f t="shared" si="16"/>
        <v>Need Improvement</v>
      </c>
      <c r="M364" t="b">
        <f>TRUE()</f>
        <v>1</v>
      </c>
      <c r="N364" t="b">
        <f>FALSE()</f>
        <v>0</v>
      </c>
      <c r="O364" s="18" t="b">
        <f t="shared" si="17"/>
        <v>0</v>
      </c>
    </row>
    <row r="365" spans="1:15" x14ac:dyDescent="0.35">
      <c r="A365">
        <v>41815</v>
      </c>
      <c r="B365">
        <v>1475</v>
      </c>
      <c r="C365" t="s">
        <v>26</v>
      </c>
      <c r="D365" t="s">
        <v>30</v>
      </c>
      <c r="E365" t="s">
        <v>28</v>
      </c>
      <c r="F365">
        <v>9</v>
      </c>
      <c r="G365">
        <v>7938</v>
      </c>
      <c r="H365">
        <v>4969.1880000000001</v>
      </c>
      <c r="K365" t="str">
        <f t="shared" si="15"/>
        <v>2.5%</v>
      </c>
      <c r="L365" t="str">
        <f t="shared" si="16"/>
        <v>Need Improvement</v>
      </c>
      <c r="M365" t="b">
        <f>TRUE()</f>
        <v>1</v>
      </c>
      <c r="N365" t="b">
        <f>FALSE()</f>
        <v>0</v>
      </c>
      <c r="O365" s="18" t="b">
        <f t="shared" si="17"/>
        <v>0</v>
      </c>
    </row>
    <row r="366" spans="1:15" x14ac:dyDescent="0.35">
      <c r="A366">
        <v>41816</v>
      </c>
      <c r="B366">
        <v>1476</v>
      </c>
      <c r="C366" t="s">
        <v>27</v>
      </c>
      <c r="D366" t="s">
        <v>30</v>
      </c>
      <c r="E366" t="s">
        <v>29</v>
      </c>
      <c r="F366">
        <v>6</v>
      </c>
      <c r="G366">
        <v>6129</v>
      </c>
      <c r="H366">
        <v>2691.0396000000001</v>
      </c>
      <c r="K366" t="str">
        <f t="shared" si="15"/>
        <v>2.5%</v>
      </c>
      <c r="L366" t="str">
        <f t="shared" si="16"/>
        <v>Need Improvement</v>
      </c>
      <c r="M366" t="b">
        <f>TRUE()</f>
        <v>1</v>
      </c>
      <c r="N366" t="b">
        <f>FALSE()</f>
        <v>0</v>
      </c>
      <c r="O366" s="18" t="b">
        <f t="shared" si="17"/>
        <v>0</v>
      </c>
    </row>
    <row r="367" spans="1:15" x14ac:dyDescent="0.35">
      <c r="A367">
        <v>41817</v>
      </c>
      <c r="B367">
        <v>1842</v>
      </c>
      <c r="C367" t="s">
        <v>27</v>
      </c>
      <c r="D367" t="s">
        <v>30</v>
      </c>
      <c r="E367" t="s">
        <v>28</v>
      </c>
      <c r="F367">
        <v>6</v>
      </c>
      <c r="G367">
        <v>1755</v>
      </c>
      <c r="H367">
        <v>1776.9375</v>
      </c>
      <c r="K367" t="str">
        <f t="shared" si="15"/>
        <v>1.5%</v>
      </c>
      <c r="L367" t="str">
        <f t="shared" si="16"/>
        <v>Need Improvement</v>
      </c>
      <c r="M367" t="b">
        <f>TRUE()</f>
        <v>1</v>
      </c>
      <c r="N367" t="b">
        <f>FALSE()</f>
        <v>0</v>
      </c>
      <c r="O367" s="18" t="b">
        <f t="shared" si="17"/>
        <v>0</v>
      </c>
    </row>
    <row r="368" spans="1:15" x14ac:dyDescent="0.35">
      <c r="A368">
        <v>41818</v>
      </c>
      <c r="B368">
        <v>1477</v>
      </c>
      <c r="C368" t="s">
        <v>23</v>
      </c>
      <c r="D368" t="s">
        <v>30</v>
      </c>
      <c r="E368" t="s">
        <v>29</v>
      </c>
      <c r="F368">
        <v>6</v>
      </c>
      <c r="G368">
        <v>7956</v>
      </c>
      <c r="H368">
        <v>2942.1288</v>
      </c>
      <c r="K368" t="str">
        <f t="shared" si="15"/>
        <v>2.5%</v>
      </c>
      <c r="L368" t="str">
        <f t="shared" si="16"/>
        <v>Need Improvement</v>
      </c>
      <c r="M368" t="b">
        <f>TRUE()</f>
        <v>1</v>
      </c>
      <c r="N368" t="b">
        <f>FALSE()</f>
        <v>0</v>
      </c>
      <c r="O368" s="18" t="b">
        <f t="shared" si="17"/>
        <v>0</v>
      </c>
    </row>
    <row r="369" spans="1:15" x14ac:dyDescent="0.35">
      <c r="A369">
        <v>41819</v>
      </c>
      <c r="B369">
        <v>1843</v>
      </c>
      <c r="C369" t="s">
        <v>23</v>
      </c>
      <c r="D369" t="s">
        <v>30</v>
      </c>
      <c r="E369" t="s">
        <v>28</v>
      </c>
      <c r="F369">
        <v>8</v>
      </c>
      <c r="G369">
        <v>5940</v>
      </c>
      <c r="H369">
        <v>1407.78</v>
      </c>
      <c r="K369" t="str">
        <f t="shared" si="15"/>
        <v>2.5%</v>
      </c>
      <c r="L369" t="str">
        <f t="shared" si="16"/>
        <v>Need Improvement</v>
      </c>
      <c r="M369" t="b">
        <f>TRUE()</f>
        <v>1</v>
      </c>
      <c r="N369" t="b">
        <f>FALSE()</f>
        <v>0</v>
      </c>
      <c r="O369" s="18" t="b">
        <f t="shared" si="17"/>
        <v>0</v>
      </c>
    </row>
    <row r="370" spans="1:15" x14ac:dyDescent="0.35">
      <c r="A370">
        <v>41820</v>
      </c>
      <c r="B370">
        <v>1478</v>
      </c>
      <c r="C370" t="s">
        <v>26</v>
      </c>
      <c r="D370" t="s">
        <v>30</v>
      </c>
      <c r="E370" t="s">
        <v>29</v>
      </c>
      <c r="F370">
        <v>9</v>
      </c>
      <c r="G370">
        <v>13972.5</v>
      </c>
      <c r="H370">
        <v>4783.0661999999993</v>
      </c>
      <c r="K370" t="str">
        <f t="shared" si="15"/>
        <v>5%</v>
      </c>
      <c r="L370" t="str">
        <f t="shared" si="16"/>
        <v>Good</v>
      </c>
      <c r="M370" t="b">
        <f>TRUE()</f>
        <v>1</v>
      </c>
      <c r="N370" t="b">
        <f>FALSE()</f>
        <v>0</v>
      </c>
      <c r="O370" s="18" t="b">
        <f t="shared" si="17"/>
        <v>0</v>
      </c>
    </row>
    <row r="371" spans="1:15" x14ac:dyDescent="0.35">
      <c r="A371">
        <v>41821</v>
      </c>
      <c r="B371">
        <v>1844</v>
      </c>
      <c r="C371" t="s">
        <v>26</v>
      </c>
      <c r="D371" t="s">
        <v>30</v>
      </c>
      <c r="E371" t="s">
        <v>28</v>
      </c>
      <c r="F371">
        <v>6</v>
      </c>
      <c r="G371">
        <v>6300</v>
      </c>
      <c r="H371">
        <v>1132.425</v>
      </c>
      <c r="K371" t="str">
        <f t="shared" si="15"/>
        <v>2.5%</v>
      </c>
      <c r="L371" t="str">
        <f t="shared" si="16"/>
        <v>Need Improvement</v>
      </c>
      <c r="M371" t="b">
        <f>TRUE()</f>
        <v>1</v>
      </c>
      <c r="N371" t="b">
        <f>FALSE()</f>
        <v>0</v>
      </c>
      <c r="O371" s="18" t="b">
        <f t="shared" si="17"/>
        <v>0</v>
      </c>
    </row>
    <row r="372" spans="1:15" x14ac:dyDescent="0.35">
      <c r="A372">
        <v>41822</v>
      </c>
      <c r="B372">
        <v>1479</v>
      </c>
      <c r="C372" t="s">
        <v>27</v>
      </c>
      <c r="D372" t="s">
        <v>30</v>
      </c>
      <c r="E372" t="s">
        <v>25</v>
      </c>
      <c r="F372">
        <v>8</v>
      </c>
      <c r="G372">
        <v>6096</v>
      </c>
      <c r="H372">
        <v>722.98559999999998</v>
      </c>
      <c r="K372" t="str">
        <f t="shared" si="15"/>
        <v>2.5%</v>
      </c>
      <c r="L372" t="str">
        <f t="shared" si="16"/>
        <v>Need Improvement</v>
      </c>
      <c r="M372" t="b">
        <f>TRUE()</f>
        <v>1</v>
      </c>
      <c r="N372" t="b">
        <f>FALSE()</f>
        <v>0</v>
      </c>
      <c r="O372" s="18" t="b">
        <f t="shared" si="17"/>
        <v>0</v>
      </c>
    </row>
    <row r="373" spans="1:15" x14ac:dyDescent="0.35">
      <c r="A373">
        <v>41823</v>
      </c>
      <c r="B373">
        <v>1845</v>
      </c>
      <c r="C373" t="s">
        <v>27</v>
      </c>
      <c r="D373" t="s">
        <v>30</v>
      </c>
      <c r="E373" t="s">
        <v>29</v>
      </c>
      <c r="F373">
        <v>9</v>
      </c>
      <c r="G373">
        <v>2045.25</v>
      </c>
      <c r="H373">
        <v>1783.8670499999998</v>
      </c>
      <c r="K373" t="str">
        <f t="shared" si="15"/>
        <v>1.5%</v>
      </c>
      <c r="L373" t="str">
        <f t="shared" si="16"/>
        <v>Need Improvement</v>
      </c>
      <c r="M373" t="b">
        <f>TRUE()</f>
        <v>1</v>
      </c>
      <c r="N373" t="b">
        <f>FALSE()</f>
        <v>0</v>
      </c>
      <c r="O373" s="18" t="b">
        <f t="shared" si="17"/>
        <v>0</v>
      </c>
    </row>
    <row r="374" spans="1:15" x14ac:dyDescent="0.35">
      <c r="A374">
        <v>41824</v>
      </c>
      <c r="B374">
        <v>1480</v>
      </c>
      <c r="C374" t="s">
        <v>23</v>
      </c>
      <c r="D374" t="s">
        <v>30</v>
      </c>
      <c r="E374" t="s">
        <v>25</v>
      </c>
      <c r="F374">
        <v>8</v>
      </c>
      <c r="G374">
        <v>5436</v>
      </c>
      <c r="H374">
        <v>733.13519999999994</v>
      </c>
      <c r="K374" t="str">
        <f t="shared" si="15"/>
        <v>2.5%</v>
      </c>
      <c r="L374" t="str">
        <f t="shared" si="16"/>
        <v>Need Improvement</v>
      </c>
      <c r="M374" t="b">
        <f>TRUE()</f>
        <v>1</v>
      </c>
      <c r="N374" t="b">
        <f>FALSE()</f>
        <v>0</v>
      </c>
      <c r="O374" s="18" t="b">
        <f t="shared" si="17"/>
        <v>0</v>
      </c>
    </row>
    <row r="375" spans="1:15" x14ac:dyDescent="0.35">
      <c r="A375">
        <v>41825</v>
      </c>
      <c r="B375">
        <v>1848</v>
      </c>
      <c r="C375" t="s">
        <v>27</v>
      </c>
      <c r="D375" t="s">
        <v>30</v>
      </c>
      <c r="E375" t="s">
        <v>25</v>
      </c>
      <c r="F375">
        <v>10</v>
      </c>
      <c r="G375">
        <v>8880</v>
      </c>
      <c r="H375">
        <v>1985.124</v>
      </c>
      <c r="K375" t="str">
        <f t="shared" si="15"/>
        <v>2.5%</v>
      </c>
      <c r="L375" t="str">
        <f t="shared" si="16"/>
        <v>Need Improvement</v>
      </c>
      <c r="M375" t="b">
        <f>TRUE()</f>
        <v>1</v>
      </c>
      <c r="N375" t="b">
        <f>FALSE()</f>
        <v>0</v>
      </c>
      <c r="O375" s="18" t="b">
        <f t="shared" si="17"/>
        <v>0</v>
      </c>
    </row>
    <row r="376" spans="1:15" x14ac:dyDescent="0.35">
      <c r="A376">
        <v>41826</v>
      </c>
      <c r="B376">
        <v>1849</v>
      </c>
      <c r="C376" t="s">
        <v>23</v>
      </c>
      <c r="D376" t="s">
        <v>30</v>
      </c>
      <c r="E376" t="s">
        <v>25</v>
      </c>
      <c r="F376">
        <v>6</v>
      </c>
      <c r="G376">
        <v>5328</v>
      </c>
      <c r="H376">
        <v>2967.4295999999999</v>
      </c>
      <c r="K376" t="str">
        <f t="shared" si="15"/>
        <v>2.5%</v>
      </c>
      <c r="L376" t="str">
        <f t="shared" si="16"/>
        <v>Need Improvement</v>
      </c>
      <c r="M376" t="b">
        <f>TRUE()</f>
        <v>1</v>
      </c>
      <c r="N376" t="b">
        <f>FALSE()</f>
        <v>0</v>
      </c>
      <c r="O376" s="18" t="b">
        <f t="shared" si="17"/>
        <v>0</v>
      </c>
    </row>
    <row r="377" spans="1:15" x14ac:dyDescent="0.35">
      <c r="A377">
        <v>41827</v>
      </c>
      <c r="B377">
        <v>1850</v>
      </c>
      <c r="C377" t="s">
        <v>26</v>
      </c>
      <c r="D377" t="s">
        <v>30</v>
      </c>
      <c r="E377" t="s">
        <v>25</v>
      </c>
      <c r="F377">
        <v>7</v>
      </c>
      <c r="G377">
        <v>9345</v>
      </c>
      <c r="H377">
        <v>1182.7031999999999</v>
      </c>
      <c r="K377" t="str">
        <f t="shared" si="15"/>
        <v>2.5%</v>
      </c>
      <c r="L377" t="str">
        <f t="shared" si="16"/>
        <v>Need Improvement</v>
      </c>
      <c r="M377" t="b">
        <f>TRUE()</f>
        <v>1</v>
      </c>
      <c r="N377" t="b">
        <f>FALSE()</f>
        <v>0</v>
      </c>
      <c r="O377" s="18" t="b">
        <f t="shared" si="17"/>
        <v>0</v>
      </c>
    </row>
    <row r="378" spans="1:15" x14ac:dyDescent="0.35">
      <c r="A378">
        <v>41828</v>
      </c>
      <c r="B378">
        <v>1851</v>
      </c>
      <c r="C378" t="s">
        <v>27</v>
      </c>
      <c r="D378" t="s">
        <v>30</v>
      </c>
      <c r="E378" t="s">
        <v>28</v>
      </c>
      <c r="F378">
        <v>10</v>
      </c>
      <c r="G378">
        <v>11925</v>
      </c>
      <c r="H378">
        <v>2509.9740000000002</v>
      </c>
      <c r="K378" t="str">
        <f t="shared" si="15"/>
        <v>5%</v>
      </c>
      <c r="L378" t="str">
        <f t="shared" si="16"/>
        <v>Good</v>
      </c>
      <c r="M378" t="b">
        <f>TRUE()</f>
        <v>1</v>
      </c>
      <c r="N378" t="b">
        <f>FALSE()</f>
        <v>0</v>
      </c>
      <c r="O378" s="18" t="b">
        <f t="shared" si="17"/>
        <v>0</v>
      </c>
    </row>
    <row r="379" spans="1:15" x14ac:dyDescent="0.35">
      <c r="A379">
        <v>41829</v>
      </c>
      <c r="B379">
        <v>1852</v>
      </c>
      <c r="C379" t="s">
        <v>23</v>
      </c>
      <c r="D379" t="s">
        <v>30</v>
      </c>
      <c r="E379" t="s">
        <v>28</v>
      </c>
      <c r="F379">
        <v>9</v>
      </c>
      <c r="G379">
        <v>8505</v>
      </c>
      <c r="H379">
        <v>1404.1754999999998</v>
      </c>
      <c r="K379" t="str">
        <f t="shared" si="15"/>
        <v>2.5%</v>
      </c>
      <c r="L379" t="str">
        <f t="shared" si="16"/>
        <v>Need Improvement</v>
      </c>
      <c r="M379" t="b">
        <f>TRUE()</f>
        <v>1</v>
      </c>
      <c r="N379" t="b">
        <f>FALSE()</f>
        <v>0</v>
      </c>
      <c r="O379" s="18" t="b">
        <f t="shared" si="17"/>
        <v>0</v>
      </c>
    </row>
    <row r="380" spans="1:15" x14ac:dyDescent="0.35">
      <c r="A380">
        <v>40909</v>
      </c>
      <c r="B380">
        <v>1853</v>
      </c>
      <c r="C380" t="s">
        <v>26</v>
      </c>
      <c r="D380" t="s">
        <v>31</v>
      </c>
      <c r="E380" t="s">
        <v>28</v>
      </c>
      <c r="F380">
        <v>6</v>
      </c>
      <c r="G380">
        <v>2200.5</v>
      </c>
      <c r="H380">
        <v>1727.8326000000002</v>
      </c>
      <c r="K380" t="str">
        <f t="shared" si="15"/>
        <v>1.5%</v>
      </c>
      <c r="L380" t="str">
        <f t="shared" si="16"/>
        <v>Need Improvement</v>
      </c>
      <c r="M380" t="b">
        <f>TRUE()</f>
        <v>1</v>
      </c>
      <c r="N380" t="b">
        <f>FALSE()</f>
        <v>0</v>
      </c>
      <c r="O380" s="18" t="b">
        <f t="shared" si="17"/>
        <v>0</v>
      </c>
    </row>
    <row r="381" spans="1:15" x14ac:dyDescent="0.35">
      <c r="A381">
        <v>40910</v>
      </c>
      <c r="B381">
        <v>1488</v>
      </c>
      <c r="C381" t="s">
        <v>27</v>
      </c>
      <c r="D381" t="s">
        <v>31</v>
      </c>
      <c r="E381" t="s">
        <v>25</v>
      </c>
      <c r="F381">
        <v>6</v>
      </c>
      <c r="G381">
        <v>3888</v>
      </c>
      <c r="H381">
        <v>850.88879999999995</v>
      </c>
      <c r="K381" t="str">
        <f t="shared" si="15"/>
        <v>1.5%</v>
      </c>
      <c r="L381" t="str">
        <f t="shared" si="16"/>
        <v>Need Improvement</v>
      </c>
      <c r="M381" t="b">
        <f>TRUE()</f>
        <v>1</v>
      </c>
      <c r="N381" t="b">
        <f>FALSE()</f>
        <v>0</v>
      </c>
      <c r="O381" s="18" t="b">
        <f t="shared" si="17"/>
        <v>0</v>
      </c>
    </row>
    <row r="382" spans="1:15" x14ac:dyDescent="0.35">
      <c r="A382">
        <v>40911</v>
      </c>
      <c r="B382">
        <v>1854</v>
      </c>
      <c r="C382" t="s">
        <v>27</v>
      </c>
      <c r="D382" t="s">
        <v>31</v>
      </c>
      <c r="E382" t="s">
        <v>29</v>
      </c>
      <c r="F382">
        <v>7</v>
      </c>
      <c r="G382">
        <v>5985</v>
      </c>
      <c r="H382">
        <v>3432.3975</v>
      </c>
      <c r="K382" t="str">
        <f t="shared" si="15"/>
        <v>2.5%</v>
      </c>
      <c r="L382" t="str">
        <f t="shared" si="16"/>
        <v>Need Improvement</v>
      </c>
      <c r="M382" t="b">
        <f>TRUE()</f>
        <v>1</v>
      </c>
      <c r="N382" t="b">
        <f>FALSE()</f>
        <v>0</v>
      </c>
      <c r="O382" s="18" t="b">
        <f t="shared" si="17"/>
        <v>0</v>
      </c>
    </row>
    <row r="383" spans="1:15" x14ac:dyDescent="0.35">
      <c r="A383">
        <v>40913</v>
      </c>
      <c r="B383">
        <v>1489</v>
      </c>
      <c r="C383" t="s">
        <v>23</v>
      </c>
      <c r="D383" t="s">
        <v>31</v>
      </c>
      <c r="E383" t="s">
        <v>25</v>
      </c>
      <c r="F383">
        <v>9</v>
      </c>
      <c r="G383">
        <v>7047</v>
      </c>
      <c r="H383">
        <v>984.46589999999992</v>
      </c>
      <c r="K383" t="str">
        <f t="shared" si="15"/>
        <v>2.5%</v>
      </c>
      <c r="L383" t="str">
        <f t="shared" si="16"/>
        <v>Need Improvement</v>
      </c>
      <c r="M383" t="b">
        <f>TRUE()</f>
        <v>1</v>
      </c>
      <c r="N383" t="b">
        <f>FALSE()</f>
        <v>0</v>
      </c>
      <c r="O383" s="18" t="b">
        <f t="shared" si="17"/>
        <v>0</v>
      </c>
    </row>
    <row r="384" spans="1:15" x14ac:dyDescent="0.35">
      <c r="A384">
        <v>40914</v>
      </c>
      <c r="B384">
        <v>1855</v>
      </c>
      <c r="C384" t="s">
        <v>23</v>
      </c>
      <c r="D384" t="s">
        <v>31</v>
      </c>
      <c r="E384" t="s">
        <v>29</v>
      </c>
      <c r="F384">
        <v>7</v>
      </c>
      <c r="G384">
        <v>5575.5</v>
      </c>
      <c r="H384">
        <v>737.63864999999987</v>
      </c>
      <c r="K384" t="str">
        <f t="shared" si="15"/>
        <v>2.5%</v>
      </c>
      <c r="L384" t="str">
        <f t="shared" si="16"/>
        <v>Need Improvement</v>
      </c>
      <c r="M384" t="b">
        <f>TRUE()</f>
        <v>1</v>
      </c>
      <c r="N384" t="b">
        <f>FALSE()</f>
        <v>0</v>
      </c>
      <c r="O384" s="18" t="b">
        <f t="shared" si="17"/>
        <v>0</v>
      </c>
    </row>
    <row r="385" spans="1:15" x14ac:dyDescent="0.35">
      <c r="A385">
        <v>40915</v>
      </c>
      <c r="B385">
        <v>1490</v>
      </c>
      <c r="C385" t="s">
        <v>26</v>
      </c>
      <c r="D385" t="s">
        <v>31</v>
      </c>
      <c r="E385" t="s">
        <v>25</v>
      </c>
      <c r="F385">
        <v>9</v>
      </c>
      <c r="G385">
        <v>8221.5</v>
      </c>
      <c r="H385">
        <v>2759.9575500000001</v>
      </c>
      <c r="K385" t="str">
        <f t="shared" si="15"/>
        <v>2.5%</v>
      </c>
      <c r="L385" t="str">
        <f t="shared" si="16"/>
        <v>Need Improvement</v>
      </c>
      <c r="M385" t="b">
        <f>TRUE()</f>
        <v>1</v>
      </c>
      <c r="N385" t="b">
        <f>FALSE()</f>
        <v>0</v>
      </c>
      <c r="O385" s="18" t="b">
        <f t="shared" si="17"/>
        <v>0</v>
      </c>
    </row>
    <row r="386" spans="1:15" x14ac:dyDescent="0.35">
      <c r="A386">
        <v>40916</v>
      </c>
      <c r="B386">
        <v>1856</v>
      </c>
      <c r="C386" t="s">
        <v>26</v>
      </c>
      <c r="D386" t="s">
        <v>31</v>
      </c>
      <c r="E386" t="s">
        <v>29</v>
      </c>
      <c r="F386">
        <v>7</v>
      </c>
      <c r="G386">
        <v>5071.5</v>
      </c>
      <c r="H386">
        <v>3292.2487499999997</v>
      </c>
      <c r="K386" t="str">
        <f t="shared" si="15"/>
        <v>2.5%</v>
      </c>
      <c r="L386" t="str">
        <f t="shared" si="16"/>
        <v>Need Improvement</v>
      </c>
      <c r="M386" t="b">
        <f>TRUE()</f>
        <v>1</v>
      </c>
      <c r="N386" t="b">
        <f>FALSE()</f>
        <v>0</v>
      </c>
      <c r="O386" s="18" t="b">
        <f t="shared" si="17"/>
        <v>0</v>
      </c>
    </row>
    <row r="387" spans="1:15" x14ac:dyDescent="0.35">
      <c r="A387">
        <v>40917</v>
      </c>
      <c r="B387">
        <v>1491</v>
      </c>
      <c r="C387" t="s">
        <v>27</v>
      </c>
      <c r="D387" t="s">
        <v>31</v>
      </c>
      <c r="E387" t="s">
        <v>28</v>
      </c>
      <c r="F387">
        <v>10</v>
      </c>
      <c r="G387">
        <v>7200</v>
      </c>
      <c r="H387">
        <v>702.90000000000009</v>
      </c>
      <c r="K387" t="str">
        <f t="shared" ref="K387:K450" si="18">IF(G387&gt;10000,"5%",IF(AND(G387&gt;=5000,G387&lt;10000),"2.5%","1.5%"))</f>
        <v>2.5%</v>
      </c>
      <c r="L387" t="str">
        <f t="shared" ref="L387:L450" si="19">IF(OR(G387&gt;10000,H387&gt;=5000),"Good","Need Improvement")</f>
        <v>Need Improvement</v>
      </c>
      <c r="M387" t="b">
        <f>TRUE()</f>
        <v>1</v>
      </c>
      <c r="N387" t="b">
        <f>FALSE()</f>
        <v>0</v>
      </c>
      <c r="O387" s="18" t="b">
        <f t="shared" ref="O387:O450" si="20">NOT(M387)</f>
        <v>0</v>
      </c>
    </row>
    <row r="388" spans="1:15" x14ac:dyDescent="0.35">
      <c r="A388">
        <v>40918</v>
      </c>
      <c r="B388">
        <v>1857</v>
      </c>
      <c r="C388" t="s">
        <v>27</v>
      </c>
      <c r="D388" t="s">
        <v>31</v>
      </c>
      <c r="E388" t="s">
        <v>25</v>
      </c>
      <c r="F388">
        <v>6</v>
      </c>
      <c r="G388">
        <v>7074</v>
      </c>
      <c r="H388">
        <v>1647.7703999999999</v>
      </c>
      <c r="K388" t="str">
        <f t="shared" si="18"/>
        <v>2.5%</v>
      </c>
      <c r="L388" t="str">
        <f t="shared" si="19"/>
        <v>Need Improvement</v>
      </c>
      <c r="M388" t="b">
        <f>TRUE()</f>
        <v>1</v>
      </c>
      <c r="N388" t="b">
        <f>FALSE()</f>
        <v>0</v>
      </c>
      <c r="O388" s="18" t="b">
        <f t="shared" si="20"/>
        <v>0</v>
      </c>
    </row>
    <row r="389" spans="1:15" x14ac:dyDescent="0.35">
      <c r="A389">
        <v>40919</v>
      </c>
      <c r="B389">
        <v>1492</v>
      </c>
      <c r="C389" t="s">
        <v>23</v>
      </c>
      <c r="D389" t="s">
        <v>31</v>
      </c>
      <c r="E389" t="s">
        <v>28</v>
      </c>
      <c r="F389">
        <v>9</v>
      </c>
      <c r="G389">
        <v>5220</v>
      </c>
      <c r="H389">
        <v>1927.2239999999999</v>
      </c>
      <c r="K389" t="str">
        <f t="shared" si="18"/>
        <v>2.5%</v>
      </c>
      <c r="L389" t="str">
        <f t="shared" si="19"/>
        <v>Need Improvement</v>
      </c>
      <c r="M389" t="b">
        <f>TRUE()</f>
        <v>1</v>
      </c>
      <c r="N389" t="b">
        <f>FALSE()</f>
        <v>0</v>
      </c>
      <c r="O389" s="18" t="b">
        <f t="shared" si="20"/>
        <v>0</v>
      </c>
    </row>
    <row r="390" spans="1:15" x14ac:dyDescent="0.35">
      <c r="A390">
        <v>40920</v>
      </c>
      <c r="B390">
        <v>1858</v>
      </c>
      <c r="C390" t="s">
        <v>23</v>
      </c>
      <c r="D390" t="s">
        <v>31</v>
      </c>
      <c r="E390" t="s">
        <v>25</v>
      </c>
      <c r="F390">
        <v>9</v>
      </c>
      <c r="G390">
        <v>13050</v>
      </c>
      <c r="H390">
        <v>5495.3549999999996</v>
      </c>
      <c r="K390" t="str">
        <f t="shared" si="18"/>
        <v>5%</v>
      </c>
      <c r="L390" t="str">
        <f t="shared" si="19"/>
        <v>Good</v>
      </c>
      <c r="M390" t="b">
        <f>TRUE()</f>
        <v>1</v>
      </c>
      <c r="N390" t="b">
        <f>FALSE()</f>
        <v>0</v>
      </c>
      <c r="O390" s="18" t="b">
        <f t="shared" si="20"/>
        <v>0</v>
      </c>
    </row>
    <row r="391" spans="1:15" x14ac:dyDescent="0.35">
      <c r="A391">
        <v>40921</v>
      </c>
      <c r="B391">
        <v>1493</v>
      </c>
      <c r="C391" t="s">
        <v>26</v>
      </c>
      <c r="D391" t="s">
        <v>31</v>
      </c>
      <c r="E391" t="s">
        <v>28</v>
      </c>
      <c r="F391">
        <v>8</v>
      </c>
      <c r="G391">
        <v>8388</v>
      </c>
      <c r="H391">
        <v>1038.4344000000001</v>
      </c>
      <c r="K391" t="str">
        <f t="shared" si="18"/>
        <v>2.5%</v>
      </c>
      <c r="L391" t="str">
        <f t="shared" si="19"/>
        <v>Need Improvement</v>
      </c>
      <c r="M391" t="b">
        <f>TRUE()</f>
        <v>1</v>
      </c>
      <c r="N391" t="b">
        <f>FALSE()</f>
        <v>0</v>
      </c>
      <c r="O391" s="18" t="b">
        <f t="shared" si="20"/>
        <v>0</v>
      </c>
    </row>
    <row r="392" spans="1:15" x14ac:dyDescent="0.35">
      <c r="A392">
        <v>40922</v>
      </c>
      <c r="B392">
        <v>1859</v>
      </c>
      <c r="C392" t="s">
        <v>26</v>
      </c>
      <c r="D392" t="s">
        <v>31</v>
      </c>
      <c r="E392" t="s">
        <v>25</v>
      </c>
      <c r="F392">
        <v>7</v>
      </c>
      <c r="G392">
        <v>9240</v>
      </c>
      <c r="H392">
        <v>987.2940000000001</v>
      </c>
      <c r="K392" t="str">
        <f t="shared" si="18"/>
        <v>2.5%</v>
      </c>
      <c r="L392" t="str">
        <f t="shared" si="19"/>
        <v>Need Improvement</v>
      </c>
      <c r="M392" t="b">
        <f>TRUE()</f>
        <v>1</v>
      </c>
      <c r="N392" t="b">
        <f>FALSE()</f>
        <v>0</v>
      </c>
      <c r="O392" s="18" t="b">
        <f t="shared" si="20"/>
        <v>0</v>
      </c>
    </row>
    <row r="393" spans="1:15" x14ac:dyDescent="0.35">
      <c r="A393">
        <v>40923</v>
      </c>
      <c r="B393">
        <v>1494</v>
      </c>
      <c r="C393" t="s">
        <v>27</v>
      </c>
      <c r="D393" t="s">
        <v>31</v>
      </c>
      <c r="E393" t="s">
        <v>29</v>
      </c>
      <c r="F393">
        <v>6</v>
      </c>
      <c r="G393">
        <v>1989</v>
      </c>
      <c r="H393">
        <v>1436.8536000000001</v>
      </c>
      <c r="K393" t="str">
        <f t="shared" si="18"/>
        <v>1.5%</v>
      </c>
      <c r="L393" t="str">
        <f t="shared" si="19"/>
        <v>Need Improvement</v>
      </c>
      <c r="M393" t="b">
        <f>TRUE()</f>
        <v>1</v>
      </c>
      <c r="N393" t="b">
        <f>FALSE()</f>
        <v>0</v>
      </c>
      <c r="O393" s="18" t="b">
        <f t="shared" si="20"/>
        <v>0</v>
      </c>
    </row>
    <row r="394" spans="1:15" x14ac:dyDescent="0.35">
      <c r="A394">
        <v>40924</v>
      </c>
      <c r="B394">
        <v>1860</v>
      </c>
      <c r="C394" t="s">
        <v>27</v>
      </c>
      <c r="D394" t="s">
        <v>31</v>
      </c>
      <c r="E394" t="s">
        <v>28</v>
      </c>
      <c r="F394">
        <v>8</v>
      </c>
      <c r="G394">
        <v>2436</v>
      </c>
      <c r="H394">
        <v>3756.3119999999999</v>
      </c>
      <c r="K394" t="str">
        <f t="shared" si="18"/>
        <v>1.5%</v>
      </c>
      <c r="L394" t="str">
        <f t="shared" si="19"/>
        <v>Need Improvement</v>
      </c>
      <c r="M394" t="b">
        <f>TRUE()</f>
        <v>1</v>
      </c>
      <c r="N394" t="b">
        <f>FALSE()</f>
        <v>0</v>
      </c>
      <c r="O394" s="18" t="b">
        <f t="shared" si="20"/>
        <v>0</v>
      </c>
    </row>
    <row r="395" spans="1:15" x14ac:dyDescent="0.35">
      <c r="A395">
        <v>40925</v>
      </c>
      <c r="B395">
        <v>1495</v>
      </c>
      <c r="C395" t="s">
        <v>23</v>
      </c>
      <c r="D395" t="s">
        <v>31</v>
      </c>
      <c r="E395" t="s">
        <v>29</v>
      </c>
      <c r="F395">
        <v>9</v>
      </c>
      <c r="G395">
        <v>8221.5</v>
      </c>
      <c r="H395">
        <v>2519.8897500000003</v>
      </c>
      <c r="K395" t="str">
        <f t="shared" si="18"/>
        <v>2.5%</v>
      </c>
      <c r="L395" t="str">
        <f t="shared" si="19"/>
        <v>Need Improvement</v>
      </c>
      <c r="M395" t="b">
        <f>TRUE()</f>
        <v>1</v>
      </c>
      <c r="N395" t="b">
        <f>FALSE()</f>
        <v>0</v>
      </c>
      <c r="O395" s="18" t="b">
        <f t="shared" si="20"/>
        <v>0</v>
      </c>
    </row>
    <row r="396" spans="1:15" x14ac:dyDescent="0.35">
      <c r="A396">
        <v>40926</v>
      </c>
      <c r="B396">
        <v>1861</v>
      </c>
      <c r="C396" t="s">
        <v>23</v>
      </c>
      <c r="D396" t="s">
        <v>31</v>
      </c>
      <c r="E396" t="s">
        <v>28</v>
      </c>
      <c r="F396">
        <v>8</v>
      </c>
      <c r="G396">
        <v>6048</v>
      </c>
      <c r="H396">
        <v>2732.1839999999997</v>
      </c>
      <c r="K396" t="str">
        <f t="shared" si="18"/>
        <v>2.5%</v>
      </c>
      <c r="L396" t="str">
        <f t="shared" si="19"/>
        <v>Need Improvement</v>
      </c>
      <c r="M396" t="b">
        <f>TRUE()</f>
        <v>1</v>
      </c>
      <c r="N396" t="b">
        <f>FALSE()</f>
        <v>0</v>
      </c>
      <c r="O396" s="18" t="b">
        <f t="shared" si="20"/>
        <v>0</v>
      </c>
    </row>
    <row r="397" spans="1:15" x14ac:dyDescent="0.35">
      <c r="A397">
        <v>40927</v>
      </c>
      <c r="B397">
        <v>1496</v>
      </c>
      <c r="C397" t="s">
        <v>26</v>
      </c>
      <c r="D397" t="s">
        <v>31</v>
      </c>
      <c r="E397" t="s">
        <v>29</v>
      </c>
      <c r="F397">
        <v>7</v>
      </c>
      <c r="G397">
        <v>2037</v>
      </c>
      <c r="H397">
        <v>1801.1154000000001</v>
      </c>
      <c r="K397" t="str">
        <f t="shared" si="18"/>
        <v>1.5%</v>
      </c>
      <c r="L397" t="str">
        <f t="shared" si="19"/>
        <v>Need Improvement</v>
      </c>
      <c r="M397" t="b">
        <f>TRUE()</f>
        <v>1</v>
      </c>
      <c r="N397" t="b">
        <f>FALSE()</f>
        <v>0</v>
      </c>
      <c r="O397" s="18" t="b">
        <f t="shared" si="20"/>
        <v>0</v>
      </c>
    </row>
    <row r="398" spans="1:15" x14ac:dyDescent="0.35">
      <c r="A398">
        <v>40928</v>
      </c>
      <c r="B398">
        <v>1862</v>
      </c>
      <c r="C398" t="s">
        <v>26</v>
      </c>
      <c r="D398" t="s">
        <v>31</v>
      </c>
      <c r="E398" t="s">
        <v>28</v>
      </c>
      <c r="F398">
        <v>7</v>
      </c>
      <c r="G398">
        <v>2394</v>
      </c>
      <c r="H398">
        <v>3850.7489999999998</v>
      </c>
      <c r="K398" t="str">
        <f t="shared" si="18"/>
        <v>1.5%</v>
      </c>
      <c r="L398" t="str">
        <f t="shared" si="19"/>
        <v>Need Improvement</v>
      </c>
      <c r="M398" t="b">
        <f>TRUE()</f>
        <v>1</v>
      </c>
      <c r="N398" t="b">
        <f>FALSE()</f>
        <v>0</v>
      </c>
      <c r="O398" s="18" t="b">
        <f t="shared" si="20"/>
        <v>0</v>
      </c>
    </row>
    <row r="399" spans="1:15" x14ac:dyDescent="0.35">
      <c r="A399">
        <v>40929</v>
      </c>
      <c r="B399">
        <v>1497</v>
      </c>
      <c r="C399" t="s">
        <v>27</v>
      </c>
      <c r="D399" t="s">
        <v>31</v>
      </c>
      <c r="E399" t="s">
        <v>25</v>
      </c>
      <c r="F399">
        <v>9</v>
      </c>
      <c r="G399">
        <v>10044</v>
      </c>
      <c r="H399">
        <v>2253.3714</v>
      </c>
      <c r="K399" t="str">
        <f t="shared" si="18"/>
        <v>5%</v>
      </c>
      <c r="L399" t="str">
        <f t="shared" si="19"/>
        <v>Good</v>
      </c>
      <c r="M399" t="b">
        <f>TRUE()</f>
        <v>1</v>
      </c>
      <c r="N399" t="b">
        <f>FALSE()</f>
        <v>0</v>
      </c>
      <c r="O399" s="18" t="b">
        <f t="shared" si="20"/>
        <v>0</v>
      </c>
    </row>
    <row r="400" spans="1:15" x14ac:dyDescent="0.35">
      <c r="A400">
        <v>40930</v>
      </c>
      <c r="B400">
        <v>1863</v>
      </c>
      <c r="C400" t="s">
        <v>27</v>
      </c>
      <c r="D400" t="s">
        <v>31</v>
      </c>
      <c r="E400" t="s">
        <v>29</v>
      </c>
      <c r="F400">
        <v>7</v>
      </c>
      <c r="G400">
        <v>2614.5</v>
      </c>
      <c r="H400">
        <v>1091.8152</v>
      </c>
      <c r="K400" t="str">
        <f t="shared" si="18"/>
        <v>1.5%</v>
      </c>
      <c r="L400" t="str">
        <f t="shared" si="19"/>
        <v>Need Improvement</v>
      </c>
      <c r="M400" t="b">
        <f>TRUE()</f>
        <v>1</v>
      </c>
      <c r="N400" t="b">
        <f>FALSE()</f>
        <v>0</v>
      </c>
      <c r="O400" s="18" t="b">
        <f t="shared" si="20"/>
        <v>0</v>
      </c>
    </row>
    <row r="401" spans="1:15" x14ac:dyDescent="0.35">
      <c r="A401">
        <v>40931</v>
      </c>
      <c r="B401">
        <v>1498</v>
      </c>
      <c r="C401" t="s">
        <v>23</v>
      </c>
      <c r="D401" t="s">
        <v>31</v>
      </c>
      <c r="E401" t="s">
        <v>25</v>
      </c>
      <c r="F401">
        <v>6</v>
      </c>
      <c r="G401">
        <v>5062.5</v>
      </c>
      <c r="H401">
        <v>1708.5937500000005</v>
      </c>
      <c r="K401" t="str">
        <f t="shared" si="18"/>
        <v>2.5%</v>
      </c>
      <c r="L401" t="str">
        <f t="shared" si="19"/>
        <v>Need Improvement</v>
      </c>
      <c r="M401" t="b">
        <f>TRUE()</f>
        <v>1</v>
      </c>
      <c r="N401" t="b">
        <f>FALSE()</f>
        <v>0</v>
      </c>
      <c r="O401" s="18" t="b">
        <f t="shared" si="20"/>
        <v>0</v>
      </c>
    </row>
    <row r="402" spans="1:15" x14ac:dyDescent="0.35">
      <c r="A402">
        <v>40932</v>
      </c>
      <c r="B402">
        <v>1864</v>
      </c>
      <c r="C402" t="s">
        <v>23</v>
      </c>
      <c r="D402" t="s">
        <v>31</v>
      </c>
      <c r="E402" t="s">
        <v>29</v>
      </c>
      <c r="F402">
        <v>8</v>
      </c>
      <c r="G402">
        <v>2052</v>
      </c>
      <c r="H402">
        <v>2596.1904000000004</v>
      </c>
      <c r="K402" t="str">
        <f t="shared" si="18"/>
        <v>1.5%</v>
      </c>
      <c r="L402" t="str">
        <f t="shared" si="19"/>
        <v>Need Improvement</v>
      </c>
      <c r="M402" t="b">
        <f>TRUE()</f>
        <v>1</v>
      </c>
      <c r="N402" t="b">
        <f>FALSE()</f>
        <v>0</v>
      </c>
      <c r="O402" s="18" t="b">
        <f t="shared" si="20"/>
        <v>0</v>
      </c>
    </row>
    <row r="403" spans="1:15" x14ac:dyDescent="0.35">
      <c r="A403">
        <v>40933</v>
      </c>
      <c r="B403">
        <v>1499</v>
      </c>
      <c r="C403" t="s">
        <v>26</v>
      </c>
      <c r="D403" t="s">
        <v>31</v>
      </c>
      <c r="E403" t="s">
        <v>25</v>
      </c>
      <c r="F403">
        <v>10</v>
      </c>
      <c r="G403">
        <v>1755</v>
      </c>
      <c r="H403">
        <v>2730.7799999999997</v>
      </c>
      <c r="K403" t="str">
        <f t="shared" si="18"/>
        <v>1.5%</v>
      </c>
      <c r="L403" t="str">
        <f t="shared" si="19"/>
        <v>Need Improvement</v>
      </c>
      <c r="M403" t="b">
        <f>TRUE()</f>
        <v>1</v>
      </c>
      <c r="N403" t="b">
        <f>FALSE()</f>
        <v>0</v>
      </c>
      <c r="O403" s="18" t="b">
        <f t="shared" si="20"/>
        <v>0</v>
      </c>
    </row>
    <row r="404" spans="1:15" x14ac:dyDescent="0.35">
      <c r="A404">
        <v>40934</v>
      </c>
      <c r="B404">
        <v>1865</v>
      </c>
      <c r="C404" t="s">
        <v>26</v>
      </c>
      <c r="D404" t="s">
        <v>31</v>
      </c>
      <c r="E404" t="s">
        <v>29</v>
      </c>
      <c r="F404">
        <v>8</v>
      </c>
      <c r="G404">
        <v>4496</v>
      </c>
      <c r="H404">
        <v>4094.732</v>
      </c>
      <c r="K404" t="str">
        <f t="shared" si="18"/>
        <v>1.5%</v>
      </c>
      <c r="L404" t="str">
        <f t="shared" si="19"/>
        <v>Need Improvement</v>
      </c>
      <c r="M404" t="b">
        <f>TRUE()</f>
        <v>1</v>
      </c>
      <c r="N404" t="b">
        <f>FALSE()</f>
        <v>0</v>
      </c>
      <c r="O404" s="18" t="b">
        <f t="shared" si="20"/>
        <v>0</v>
      </c>
    </row>
    <row r="405" spans="1:15" x14ac:dyDescent="0.35">
      <c r="A405">
        <v>40935</v>
      </c>
      <c r="B405">
        <v>1500</v>
      </c>
      <c r="C405" t="s">
        <v>27</v>
      </c>
      <c r="D405" t="s">
        <v>31</v>
      </c>
      <c r="E405" t="s">
        <v>28</v>
      </c>
      <c r="F405">
        <v>9</v>
      </c>
      <c r="G405">
        <v>2929.5</v>
      </c>
      <c r="H405">
        <v>1156.2736500000001</v>
      </c>
      <c r="K405" t="str">
        <f t="shared" si="18"/>
        <v>1.5%</v>
      </c>
      <c r="L405" t="str">
        <f t="shared" si="19"/>
        <v>Need Improvement</v>
      </c>
      <c r="M405" t="b">
        <f>TRUE()</f>
        <v>1</v>
      </c>
      <c r="N405" t="b">
        <f>FALSE()</f>
        <v>0</v>
      </c>
      <c r="O405" s="18" t="b">
        <f t="shared" si="20"/>
        <v>0</v>
      </c>
    </row>
    <row r="406" spans="1:15" x14ac:dyDescent="0.35">
      <c r="A406">
        <v>40936</v>
      </c>
      <c r="B406">
        <v>1866</v>
      </c>
      <c r="C406" t="s">
        <v>27</v>
      </c>
      <c r="D406" t="s">
        <v>31</v>
      </c>
      <c r="E406" t="s">
        <v>25</v>
      </c>
      <c r="F406">
        <v>10</v>
      </c>
      <c r="G406">
        <v>14550</v>
      </c>
      <c r="H406">
        <v>3127.9589999999998</v>
      </c>
      <c r="K406" t="str">
        <f t="shared" si="18"/>
        <v>5%</v>
      </c>
      <c r="L406" t="str">
        <f t="shared" si="19"/>
        <v>Good</v>
      </c>
      <c r="M406" t="b">
        <f>TRUE()</f>
        <v>1</v>
      </c>
      <c r="N406" t="b">
        <f>FALSE()</f>
        <v>0</v>
      </c>
      <c r="O406" s="18" t="b">
        <f t="shared" si="20"/>
        <v>0</v>
      </c>
    </row>
    <row r="407" spans="1:15" x14ac:dyDescent="0.35">
      <c r="A407">
        <v>40937</v>
      </c>
      <c r="B407">
        <v>1501</v>
      </c>
      <c r="C407" t="s">
        <v>23</v>
      </c>
      <c r="D407" t="s">
        <v>31</v>
      </c>
      <c r="E407" t="s">
        <v>28</v>
      </c>
      <c r="F407">
        <v>7</v>
      </c>
      <c r="G407">
        <v>4158</v>
      </c>
      <c r="H407">
        <v>2585.8602000000001</v>
      </c>
      <c r="K407" t="str">
        <f t="shared" si="18"/>
        <v>1.5%</v>
      </c>
      <c r="L407" t="str">
        <f t="shared" si="19"/>
        <v>Need Improvement</v>
      </c>
      <c r="M407" t="b">
        <f>TRUE()</f>
        <v>1</v>
      </c>
      <c r="N407" t="b">
        <f>FALSE()</f>
        <v>0</v>
      </c>
      <c r="O407" s="18" t="b">
        <f t="shared" si="20"/>
        <v>0</v>
      </c>
    </row>
    <row r="408" spans="1:15" x14ac:dyDescent="0.35">
      <c r="A408">
        <v>40938</v>
      </c>
      <c r="B408">
        <v>1867</v>
      </c>
      <c r="C408" t="s">
        <v>23</v>
      </c>
      <c r="D408" t="s">
        <v>31</v>
      </c>
      <c r="E408" t="s">
        <v>25</v>
      </c>
      <c r="F408">
        <v>8</v>
      </c>
      <c r="G408">
        <v>10440</v>
      </c>
      <c r="H408">
        <v>3660.2640000000001</v>
      </c>
      <c r="K408" t="str">
        <f t="shared" si="18"/>
        <v>5%</v>
      </c>
      <c r="L408" t="str">
        <f t="shared" si="19"/>
        <v>Good</v>
      </c>
      <c r="M408" t="b">
        <f>TRUE()</f>
        <v>1</v>
      </c>
      <c r="N408" t="b">
        <f>FALSE()</f>
        <v>0</v>
      </c>
      <c r="O408" s="18" t="b">
        <f t="shared" si="20"/>
        <v>0</v>
      </c>
    </row>
    <row r="409" spans="1:15" x14ac:dyDescent="0.35">
      <c r="A409">
        <v>40939</v>
      </c>
      <c r="B409">
        <v>1502</v>
      </c>
      <c r="C409" t="s">
        <v>26</v>
      </c>
      <c r="D409" t="s">
        <v>31</v>
      </c>
      <c r="E409" t="s">
        <v>28</v>
      </c>
      <c r="F409">
        <v>6</v>
      </c>
      <c r="G409">
        <v>6561</v>
      </c>
      <c r="H409">
        <v>3494.8260000000005</v>
      </c>
      <c r="K409" t="str">
        <f t="shared" si="18"/>
        <v>2.5%</v>
      </c>
      <c r="L409" t="str">
        <f t="shared" si="19"/>
        <v>Need Improvement</v>
      </c>
      <c r="M409" t="b">
        <f>TRUE()</f>
        <v>1</v>
      </c>
      <c r="N409" t="b">
        <f>FALSE()</f>
        <v>0</v>
      </c>
      <c r="O409" s="18" t="b">
        <f t="shared" si="20"/>
        <v>0</v>
      </c>
    </row>
    <row r="410" spans="1:15" x14ac:dyDescent="0.35">
      <c r="A410">
        <v>40940</v>
      </c>
      <c r="B410">
        <v>1868</v>
      </c>
      <c r="C410" t="s">
        <v>26</v>
      </c>
      <c r="D410" t="s">
        <v>31</v>
      </c>
      <c r="E410" t="s">
        <v>25</v>
      </c>
      <c r="F410">
        <v>8</v>
      </c>
      <c r="G410">
        <v>8496</v>
      </c>
      <c r="H410">
        <v>4378.6259999999993</v>
      </c>
      <c r="K410" t="str">
        <f t="shared" si="18"/>
        <v>2.5%</v>
      </c>
      <c r="L410" t="str">
        <f t="shared" si="19"/>
        <v>Need Improvement</v>
      </c>
      <c r="M410" t="b">
        <f>TRUE()</f>
        <v>1</v>
      </c>
      <c r="N410" t="b">
        <f>FALSE()</f>
        <v>0</v>
      </c>
      <c r="O410" s="18" t="b">
        <f t="shared" si="20"/>
        <v>0</v>
      </c>
    </row>
    <row r="411" spans="1:15" x14ac:dyDescent="0.35">
      <c r="A411">
        <v>40941</v>
      </c>
      <c r="B411">
        <v>1503</v>
      </c>
      <c r="C411" t="s">
        <v>27</v>
      </c>
      <c r="D411" t="s">
        <v>31</v>
      </c>
      <c r="E411" t="s">
        <v>29</v>
      </c>
      <c r="F411">
        <v>7</v>
      </c>
      <c r="G411">
        <v>4515</v>
      </c>
      <c r="H411">
        <v>786.06150000000002</v>
      </c>
      <c r="K411" t="str">
        <f t="shared" si="18"/>
        <v>1.5%</v>
      </c>
      <c r="L411" t="str">
        <f t="shared" si="19"/>
        <v>Need Improvement</v>
      </c>
      <c r="M411" t="b">
        <f>TRUE()</f>
        <v>1</v>
      </c>
      <c r="N411" t="b">
        <f>FALSE()</f>
        <v>0</v>
      </c>
      <c r="O411" s="18" t="b">
        <f t="shared" si="20"/>
        <v>0</v>
      </c>
    </row>
    <row r="412" spans="1:15" x14ac:dyDescent="0.35">
      <c r="A412">
        <v>40942</v>
      </c>
      <c r="B412">
        <v>1869</v>
      </c>
      <c r="C412" t="s">
        <v>27</v>
      </c>
      <c r="D412" t="s">
        <v>31</v>
      </c>
      <c r="E412" t="s">
        <v>28</v>
      </c>
      <c r="F412">
        <v>9</v>
      </c>
      <c r="G412">
        <v>5143.5</v>
      </c>
      <c r="H412">
        <v>733.80600000000004</v>
      </c>
      <c r="K412" t="str">
        <f t="shared" si="18"/>
        <v>2.5%</v>
      </c>
      <c r="L412" t="str">
        <f t="shared" si="19"/>
        <v>Need Improvement</v>
      </c>
      <c r="M412" t="b">
        <f>TRUE()</f>
        <v>1</v>
      </c>
      <c r="N412" t="b">
        <f>FALSE()</f>
        <v>0</v>
      </c>
      <c r="O412" s="18" t="b">
        <f t="shared" si="20"/>
        <v>0</v>
      </c>
    </row>
    <row r="413" spans="1:15" x14ac:dyDescent="0.35">
      <c r="A413">
        <v>40943</v>
      </c>
      <c r="B413">
        <v>1504</v>
      </c>
      <c r="C413" t="s">
        <v>23</v>
      </c>
      <c r="D413" t="s">
        <v>31</v>
      </c>
      <c r="E413" t="s">
        <v>29</v>
      </c>
      <c r="F413">
        <v>9</v>
      </c>
      <c r="G413">
        <v>12195</v>
      </c>
      <c r="H413">
        <v>3248.0163000000002</v>
      </c>
      <c r="K413" t="str">
        <f t="shared" si="18"/>
        <v>5%</v>
      </c>
      <c r="L413" t="str">
        <f t="shared" si="19"/>
        <v>Good</v>
      </c>
      <c r="M413" t="b">
        <f>TRUE()</f>
        <v>1</v>
      </c>
      <c r="N413" t="b">
        <f>FALSE()</f>
        <v>0</v>
      </c>
      <c r="O413" s="18" t="b">
        <f t="shared" si="20"/>
        <v>0</v>
      </c>
    </row>
    <row r="414" spans="1:15" x14ac:dyDescent="0.35">
      <c r="A414">
        <v>40944</v>
      </c>
      <c r="B414">
        <v>1870</v>
      </c>
      <c r="C414" t="s">
        <v>23</v>
      </c>
      <c r="D414" t="s">
        <v>31</v>
      </c>
      <c r="E414" t="s">
        <v>28</v>
      </c>
      <c r="F414">
        <v>10</v>
      </c>
      <c r="G414">
        <v>10560</v>
      </c>
      <c r="H414">
        <v>5089.92</v>
      </c>
      <c r="K414" t="str">
        <f t="shared" si="18"/>
        <v>5%</v>
      </c>
      <c r="L414" t="str">
        <f t="shared" si="19"/>
        <v>Good</v>
      </c>
      <c r="M414" t="b">
        <f>TRUE()</f>
        <v>1</v>
      </c>
      <c r="N414" t="b">
        <f>FALSE()</f>
        <v>0</v>
      </c>
      <c r="O414" s="18" t="b">
        <f t="shared" si="20"/>
        <v>0</v>
      </c>
    </row>
    <row r="415" spans="1:15" x14ac:dyDescent="0.35">
      <c r="A415">
        <v>40945</v>
      </c>
      <c r="B415">
        <v>1505</v>
      </c>
      <c r="C415" t="s">
        <v>26</v>
      </c>
      <c r="D415" t="s">
        <v>31</v>
      </c>
      <c r="E415" t="s">
        <v>29</v>
      </c>
      <c r="F415">
        <v>9</v>
      </c>
      <c r="G415">
        <v>11475</v>
      </c>
      <c r="H415">
        <v>1964.0609999999999</v>
      </c>
      <c r="K415" t="str">
        <f t="shared" si="18"/>
        <v>5%</v>
      </c>
      <c r="L415" t="str">
        <f t="shared" si="19"/>
        <v>Good</v>
      </c>
      <c r="M415" t="b">
        <f>TRUE()</f>
        <v>1</v>
      </c>
      <c r="N415" t="b">
        <f>FALSE()</f>
        <v>0</v>
      </c>
      <c r="O415" s="18" t="b">
        <f t="shared" si="20"/>
        <v>0</v>
      </c>
    </row>
    <row r="416" spans="1:15" x14ac:dyDescent="0.35">
      <c r="A416">
        <v>40946</v>
      </c>
      <c r="B416">
        <v>1871</v>
      </c>
      <c r="C416" t="s">
        <v>26</v>
      </c>
      <c r="D416" t="s">
        <v>31</v>
      </c>
      <c r="E416" t="s">
        <v>28</v>
      </c>
      <c r="F416">
        <v>9</v>
      </c>
      <c r="G416">
        <v>2146.5</v>
      </c>
      <c r="H416">
        <v>4819.9657500000003</v>
      </c>
      <c r="K416" t="str">
        <f t="shared" si="18"/>
        <v>1.5%</v>
      </c>
      <c r="L416" t="str">
        <f t="shared" si="19"/>
        <v>Need Improvement</v>
      </c>
      <c r="M416" t="b">
        <f>TRUE()</f>
        <v>1</v>
      </c>
      <c r="N416" t="b">
        <f>FALSE()</f>
        <v>0</v>
      </c>
      <c r="O416" s="18" t="b">
        <f t="shared" si="20"/>
        <v>0</v>
      </c>
    </row>
    <row r="417" spans="1:15" x14ac:dyDescent="0.35">
      <c r="A417">
        <v>40947</v>
      </c>
      <c r="B417">
        <v>1506</v>
      </c>
      <c r="C417" t="s">
        <v>27</v>
      </c>
      <c r="D417" t="s">
        <v>31</v>
      </c>
      <c r="E417" t="s">
        <v>25</v>
      </c>
      <c r="F417">
        <v>7</v>
      </c>
      <c r="G417">
        <v>7014</v>
      </c>
      <c r="H417">
        <v>2304.8004000000001</v>
      </c>
      <c r="K417" t="str">
        <f t="shared" si="18"/>
        <v>2.5%</v>
      </c>
      <c r="L417" t="str">
        <f t="shared" si="19"/>
        <v>Need Improvement</v>
      </c>
      <c r="M417" t="b">
        <f>TRUE()</f>
        <v>1</v>
      </c>
      <c r="N417" t="b">
        <f>FALSE()</f>
        <v>0</v>
      </c>
      <c r="O417" s="18" t="b">
        <f t="shared" si="20"/>
        <v>0</v>
      </c>
    </row>
    <row r="418" spans="1:15" x14ac:dyDescent="0.35">
      <c r="A418">
        <v>40948</v>
      </c>
      <c r="B418">
        <v>1872</v>
      </c>
      <c r="C418" t="s">
        <v>27</v>
      </c>
      <c r="D418" t="s">
        <v>31</v>
      </c>
      <c r="E418" t="s">
        <v>29</v>
      </c>
      <c r="F418">
        <v>7</v>
      </c>
      <c r="G418">
        <v>5386.5</v>
      </c>
      <c r="H418">
        <v>3228.3090000000002</v>
      </c>
      <c r="K418" t="str">
        <f t="shared" si="18"/>
        <v>2.5%</v>
      </c>
      <c r="L418" t="str">
        <f t="shared" si="19"/>
        <v>Need Improvement</v>
      </c>
      <c r="M418" t="b">
        <f>TRUE()</f>
        <v>1</v>
      </c>
      <c r="N418" t="b">
        <f>FALSE()</f>
        <v>0</v>
      </c>
      <c r="O418" s="18" t="b">
        <f t="shared" si="20"/>
        <v>0</v>
      </c>
    </row>
    <row r="419" spans="1:15" x14ac:dyDescent="0.35">
      <c r="A419">
        <v>40949</v>
      </c>
      <c r="B419">
        <v>1507</v>
      </c>
      <c r="C419" t="s">
        <v>23</v>
      </c>
      <c r="D419" t="s">
        <v>31</v>
      </c>
      <c r="E419" t="s">
        <v>25</v>
      </c>
      <c r="F419">
        <v>9</v>
      </c>
      <c r="G419">
        <v>1809</v>
      </c>
      <c r="H419">
        <v>672.22439999999995</v>
      </c>
      <c r="K419" t="str">
        <f t="shared" si="18"/>
        <v>1.5%</v>
      </c>
      <c r="L419" t="str">
        <f t="shared" si="19"/>
        <v>Need Improvement</v>
      </c>
      <c r="M419" t="b">
        <f>TRUE()</f>
        <v>1</v>
      </c>
      <c r="N419" t="b">
        <f>FALSE()</f>
        <v>0</v>
      </c>
      <c r="O419" s="18" t="b">
        <f t="shared" si="20"/>
        <v>0</v>
      </c>
    </row>
    <row r="420" spans="1:15" x14ac:dyDescent="0.35">
      <c r="A420">
        <v>40950</v>
      </c>
      <c r="B420">
        <v>1873</v>
      </c>
      <c r="C420" t="s">
        <v>23</v>
      </c>
      <c r="D420" t="s">
        <v>31</v>
      </c>
      <c r="E420" t="s">
        <v>29</v>
      </c>
      <c r="F420">
        <v>6</v>
      </c>
      <c r="G420">
        <v>7344</v>
      </c>
      <c r="H420">
        <v>1633.7952</v>
      </c>
      <c r="K420" t="str">
        <f t="shared" si="18"/>
        <v>2.5%</v>
      </c>
      <c r="L420" t="str">
        <f t="shared" si="19"/>
        <v>Need Improvement</v>
      </c>
      <c r="M420" t="b">
        <f>TRUE()</f>
        <v>1</v>
      </c>
      <c r="N420" t="b">
        <f>FALSE()</f>
        <v>0</v>
      </c>
      <c r="O420" s="18" t="b">
        <f t="shared" si="20"/>
        <v>0</v>
      </c>
    </row>
    <row r="421" spans="1:15" x14ac:dyDescent="0.35">
      <c r="A421">
        <v>40951</v>
      </c>
      <c r="B421">
        <v>1508</v>
      </c>
      <c r="C421" t="s">
        <v>26</v>
      </c>
      <c r="D421" t="s">
        <v>31</v>
      </c>
      <c r="E421" t="s">
        <v>25</v>
      </c>
      <c r="F421">
        <v>7</v>
      </c>
      <c r="G421">
        <v>8426.25</v>
      </c>
      <c r="H421">
        <v>1156.0815000000002</v>
      </c>
      <c r="K421" t="str">
        <f t="shared" si="18"/>
        <v>2.5%</v>
      </c>
      <c r="L421" t="str">
        <f t="shared" si="19"/>
        <v>Need Improvement</v>
      </c>
      <c r="M421" t="b">
        <f>TRUE()</f>
        <v>1</v>
      </c>
      <c r="N421" t="b">
        <f>FALSE()</f>
        <v>0</v>
      </c>
      <c r="O421" s="18" t="b">
        <f t="shared" si="20"/>
        <v>0</v>
      </c>
    </row>
    <row r="422" spans="1:15" x14ac:dyDescent="0.35">
      <c r="A422">
        <v>40952</v>
      </c>
      <c r="B422">
        <v>1874</v>
      </c>
      <c r="C422" t="s">
        <v>26</v>
      </c>
      <c r="D422" t="s">
        <v>31</v>
      </c>
      <c r="E422" t="s">
        <v>29</v>
      </c>
      <c r="F422">
        <v>6</v>
      </c>
      <c r="G422">
        <v>7533</v>
      </c>
      <c r="H422">
        <v>4375.4174999999996</v>
      </c>
      <c r="K422" t="str">
        <f t="shared" si="18"/>
        <v>2.5%</v>
      </c>
      <c r="L422" t="str">
        <f t="shared" si="19"/>
        <v>Need Improvement</v>
      </c>
      <c r="M422" t="b">
        <f>TRUE()</f>
        <v>1</v>
      </c>
      <c r="N422" t="b">
        <f>FALSE()</f>
        <v>0</v>
      </c>
      <c r="O422" s="18" t="b">
        <f t="shared" si="20"/>
        <v>0</v>
      </c>
    </row>
    <row r="423" spans="1:15" x14ac:dyDescent="0.35">
      <c r="A423">
        <v>40953</v>
      </c>
      <c r="B423">
        <v>1509</v>
      </c>
      <c r="C423" t="s">
        <v>27</v>
      </c>
      <c r="D423" t="s">
        <v>31</v>
      </c>
      <c r="E423" t="s">
        <v>28</v>
      </c>
      <c r="F423">
        <v>9</v>
      </c>
      <c r="G423">
        <v>7695</v>
      </c>
      <c r="H423">
        <v>1579.0140000000001</v>
      </c>
      <c r="K423" t="str">
        <f t="shared" si="18"/>
        <v>2.5%</v>
      </c>
      <c r="L423" t="str">
        <f t="shared" si="19"/>
        <v>Need Improvement</v>
      </c>
      <c r="M423" t="b">
        <f>TRUE()</f>
        <v>1</v>
      </c>
      <c r="N423" t="b">
        <f>FALSE()</f>
        <v>0</v>
      </c>
      <c r="O423" s="18" t="b">
        <f t="shared" si="20"/>
        <v>0</v>
      </c>
    </row>
    <row r="424" spans="1:15" x14ac:dyDescent="0.35">
      <c r="A424">
        <v>40954</v>
      </c>
      <c r="B424">
        <v>1510</v>
      </c>
      <c r="C424" t="s">
        <v>23</v>
      </c>
      <c r="D424" t="s">
        <v>31</v>
      </c>
      <c r="E424" t="s">
        <v>28</v>
      </c>
      <c r="F424">
        <v>9</v>
      </c>
      <c r="G424">
        <v>5886</v>
      </c>
      <c r="H424">
        <v>2674.3041000000003</v>
      </c>
      <c r="K424" t="str">
        <f t="shared" si="18"/>
        <v>2.5%</v>
      </c>
      <c r="L424" t="str">
        <f t="shared" si="19"/>
        <v>Need Improvement</v>
      </c>
      <c r="M424" t="b">
        <f>TRUE()</f>
        <v>1</v>
      </c>
      <c r="N424" t="b">
        <f>FALSE()</f>
        <v>0</v>
      </c>
      <c r="O424" s="18" t="b">
        <f t="shared" si="20"/>
        <v>0</v>
      </c>
    </row>
    <row r="425" spans="1:15" x14ac:dyDescent="0.35">
      <c r="A425">
        <v>40955</v>
      </c>
      <c r="B425">
        <v>1511</v>
      </c>
      <c r="C425" t="s">
        <v>26</v>
      </c>
      <c r="D425" t="s">
        <v>31</v>
      </c>
      <c r="E425" t="s">
        <v>28</v>
      </c>
      <c r="F425">
        <v>7</v>
      </c>
      <c r="G425">
        <v>9345</v>
      </c>
      <c r="H425">
        <v>3895.9304999999999</v>
      </c>
      <c r="K425" t="str">
        <f t="shared" si="18"/>
        <v>2.5%</v>
      </c>
      <c r="L425" t="str">
        <f t="shared" si="19"/>
        <v>Need Improvement</v>
      </c>
      <c r="M425" t="b">
        <f>TRUE()</f>
        <v>1</v>
      </c>
      <c r="N425" t="b">
        <f>FALSE()</f>
        <v>0</v>
      </c>
      <c r="O425" s="18" t="b">
        <f t="shared" si="20"/>
        <v>0</v>
      </c>
    </row>
    <row r="426" spans="1:15" x14ac:dyDescent="0.35">
      <c r="A426">
        <v>40956</v>
      </c>
      <c r="B426">
        <v>1512</v>
      </c>
      <c r="C426" t="s">
        <v>27</v>
      </c>
      <c r="D426" t="s">
        <v>31</v>
      </c>
      <c r="E426" t="s">
        <v>29</v>
      </c>
      <c r="F426">
        <v>8</v>
      </c>
      <c r="G426">
        <v>8256</v>
      </c>
      <c r="H426">
        <v>3389.0880000000006</v>
      </c>
      <c r="K426" t="str">
        <f t="shared" si="18"/>
        <v>2.5%</v>
      </c>
      <c r="L426" t="str">
        <f t="shared" si="19"/>
        <v>Need Improvement</v>
      </c>
      <c r="M426" t="b">
        <f>TRUE()</f>
        <v>1</v>
      </c>
      <c r="N426" t="b">
        <f>FALSE()</f>
        <v>0</v>
      </c>
      <c r="O426" s="18" t="b">
        <f t="shared" si="20"/>
        <v>0</v>
      </c>
    </row>
    <row r="427" spans="1:15" x14ac:dyDescent="0.35">
      <c r="A427">
        <v>40957</v>
      </c>
      <c r="B427">
        <v>1513</v>
      </c>
      <c r="C427" t="s">
        <v>23</v>
      </c>
      <c r="D427" t="s">
        <v>31</v>
      </c>
      <c r="E427" t="s">
        <v>29</v>
      </c>
      <c r="F427">
        <v>8</v>
      </c>
      <c r="G427">
        <v>4356</v>
      </c>
      <c r="H427">
        <v>3644.8829999999998</v>
      </c>
      <c r="K427" t="str">
        <f t="shared" si="18"/>
        <v>1.5%</v>
      </c>
      <c r="L427" t="str">
        <f t="shared" si="19"/>
        <v>Need Improvement</v>
      </c>
      <c r="M427" t="b">
        <f>TRUE()</f>
        <v>1</v>
      </c>
      <c r="N427" t="b">
        <f>FALSE()</f>
        <v>0</v>
      </c>
      <c r="O427" s="18" t="b">
        <f t="shared" si="20"/>
        <v>0</v>
      </c>
    </row>
    <row r="428" spans="1:15" x14ac:dyDescent="0.35">
      <c r="A428">
        <v>40958</v>
      </c>
      <c r="B428">
        <v>1514</v>
      </c>
      <c r="C428" t="s">
        <v>26</v>
      </c>
      <c r="D428" t="s">
        <v>31</v>
      </c>
      <c r="E428" t="s">
        <v>29</v>
      </c>
      <c r="F428">
        <v>8</v>
      </c>
      <c r="G428">
        <v>14880</v>
      </c>
      <c r="H428">
        <v>5200.5599999999995</v>
      </c>
      <c r="K428" t="str">
        <f t="shared" si="18"/>
        <v>5%</v>
      </c>
      <c r="L428" t="str">
        <f t="shared" si="19"/>
        <v>Good</v>
      </c>
      <c r="M428" t="b">
        <f>TRUE()</f>
        <v>1</v>
      </c>
      <c r="N428" t="b">
        <f>FALSE()</f>
        <v>0</v>
      </c>
      <c r="O428" s="18" t="b">
        <f t="shared" si="20"/>
        <v>0</v>
      </c>
    </row>
    <row r="429" spans="1:15" x14ac:dyDescent="0.35">
      <c r="A429">
        <v>40959</v>
      </c>
      <c r="B429">
        <v>1884</v>
      </c>
      <c r="C429" t="s">
        <v>27</v>
      </c>
      <c r="D429" t="s">
        <v>31</v>
      </c>
      <c r="E429" t="s">
        <v>25</v>
      </c>
      <c r="F429">
        <v>6</v>
      </c>
      <c r="G429">
        <v>1674</v>
      </c>
      <c r="H429">
        <v>576.86040000000003</v>
      </c>
      <c r="K429" t="str">
        <f t="shared" si="18"/>
        <v>1.5%</v>
      </c>
      <c r="L429" t="str">
        <f t="shared" si="19"/>
        <v>Need Improvement</v>
      </c>
      <c r="M429" t="b">
        <f>TRUE()</f>
        <v>1</v>
      </c>
      <c r="N429" t="b">
        <f>FALSE()</f>
        <v>0</v>
      </c>
      <c r="O429" s="18" t="b">
        <f t="shared" si="20"/>
        <v>0</v>
      </c>
    </row>
    <row r="430" spans="1:15" x14ac:dyDescent="0.35">
      <c r="A430">
        <v>40960</v>
      </c>
      <c r="B430">
        <v>1885</v>
      </c>
      <c r="C430" t="s">
        <v>23</v>
      </c>
      <c r="D430" t="s">
        <v>31</v>
      </c>
      <c r="E430" t="s">
        <v>25</v>
      </c>
      <c r="F430">
        <v>10</v>
      </c>
      <c r="G430">
        <v>13050</v>
      </c>
      <c r="H430">
        <v>877.221</v>
      </c>
      <c r="K430" t="str">
        <f t="shared" si="18"/>
        <v>5%</v>
      </c>
      <c r="L430" t="str">
        <f t="shared" si="19"/>
        <v>Good</v>
      </c>
      <c r="M430" t="b">
        <f>TRUE()</f>
        <v>1</v>
      </c>
      <c r="N430" t="b">
        <f>FALSE()</f>
        <v>0</v>
      </c>
      <c r="O430" s="18" t="b">
        <f t="shared" si="20"/>
        <v>0</v>
      </c>
    </row>
    <row r="431" spans="1:15" x14ac:dyDescent="0.35">
      <c r="A431">
        <v>40961</v>
      </c>
      <c r="B431">
        <v>1886</v>
      </c>
      <c r="C431" t="s">
        <v>26</v>
      </c>
      <c r="D431" t="s">
        <v>31</v>
      </c>
      <c r="E431" t="s">
        <v>25</v>
      </c>
      <c r="F431">
        <v>7</v>
      </c>
      <c r="G431">
        <v>11214</v>
      </c>
      <c r="H431">
        <v>3310.3728000000006</v>
      </c>
      <c r="K431" t="str">
        <f t="shared" si="18"/>
        <v>5%</v>
      </c>
      <c r="L431" t="str">
        <f t="shared" si="19"/>
        <v>Good</v>
      </c>
      <c r="M431" t="b">
        <f>TRUE()</f>
        <v>1</v>
      </c>
      <c r="N431" t="b">
        <f>FALSE()</f>
        <v>0</v>
      </c>
      <c r="O431" s="18" t="b">
        <f t="shared" si="20"/>
        <v>0</v>
      </c>
    </row>
    <row r="432" spans="1:15" x14ac:dyDescent="0.35">
      <c r="A432">
        <v>40962</v>
      </c>
      <c r="B432">
        <v>1887</v>
      </c>
      <c r="C432" t="s">
        <v>27</v>
      </c>
      <c r="D432" t="s">
        <v>31</v>
      </c>
      <c r="E432" t="s">
        <v>28</v>
      </c>
      <c r="F432">
        <v>8</v>
      </c>
      <c r="G432">
        <v>3168</v>
      </c>
      <c r="H432">
        <v>2676.3263999999999</v>
      </c>
      <c r="K432" t="str">
        <f t="shared" si="18"/>
        <v>1.5%</v>
      </c>
      <c r="L432" t="str">
        <f t="shared" si="19"/>
        <v>Need Improvement</v>
      </c>
      <c r="M432" t="b">
        <f>TRUE()</f>
        <v>1</v>
      </c>
      <c r="N432" t="b">
        <f>FALSE()</f>
        <v>0</v>
      </c>
      <c r="O432" s="18" t="b">
        <f t="shared" si="20"/>
        <v>0</v>
      </c>
    </row>
    <row r="433" spans="1:15" x14ac:dyDescent="0.35">
      <c r="A433">
        <v>40963</v>
      </c>
      <c r="B433">
        <v>1888</v>
      </c>
      <c r="C433" t="s">
        <v>23</v>
      </c>
      <c r="D433" t="s">
        <v>31</v>
      </c>
      <c r="E433" t="s">
        <v>28</v>
      </c>
      <c r="F433">
        <v>7</v>
      </c>
      <c r="G433">
        <v>13860</v>
      </c>
      <c r="H433">
        <v>1744.6968000000002</v>
      </c>
      <c r="K433" t="str">
        <f t="shared" si="18"/>
        <v>5%</v>
      </c>
      <c r="L433" t="str">
        <f t="shared" si="19"/>
        <v>Good</v>
      </c>
      <c r="M433" t="b">
        <f>TRUE()</f>
        <v>1</v>
      </c>
      <c r="N433" t="b">
        <f>FALSE()</f>
        <v>0</v>
      </c>
      <c r="O433" s="18" t="b">
        <f t="shared" si="20"/>
        <v>0</v>
      </c>
    </row>
    <row r="434" spans="1:15" x14ac:dyDescent="0.35">
      <c r="A434">
        <v>40964</v>
      </c>
      <c r="B434">
        <v>1889</v>
      </c>
      <c r="C434" t="s">
        <v>26</v>
      </c>
      <c r="D434" t="s">
        <v>31</v>
      </c>
      <c r="E434" t="s">
        <v>28</v>
      </c>
      <c r="F434">
        <v>6</v>
      </c>
      <c r="G434">
        <v>1728</v>
      </c>
      <c r="H434">
        <v>2136.8447999999999</v>
      </c>
      <c r="K434" t="str">
        <f t="shared" si="18"/>
        <v>1.5%</v>
      </c>
      <c r="L434" t="str">
        <f t="shared" si="19"/>
        <v>Need Improvement</v>
      </c>
      <c r="M434" t="b">
        <f>TRUE()</f>
        <v>1</v>
      </c>
      <c r="N434" t="b">
        <f>FALSE()</f>
        <v>0</v>
      </c>
      <c r="O434" s="18" t="b">
        <f t="shared" si="20"/>
        <v>0</v>
      </c>
    </row>
    <row r="435" spans="1:15" x14ac:dyDescent="0.35">
      <c r="A435">
        <v>40965</v>
      </c>
      <c r="B435">
        <v>1524</v>
      </c>
      <c r="C435" t="s">
        <v>27</v>
      </c>
      <c r="D435" t="s">
        <v>31</v>
      </c>
      <c r="E435" t="s">
        <v>25</v>
      </c>
      <c r="F435">
        <v>6</v>
      </c>
      <c r="G435">
        <v>6507</v>
      </c>
      <c r="H435">
        <v>2487.6260999999995</v>
      </c>
      <c r="K435" t="str">
        <f t="shared" si="18"/>
        <v>2.5%</v>
      </c>
      <c r="L435" t="str">
        <f t="shared" si="19"/>
        <v>Need Improvement</v>
      </c>
      <c r="M435" t="b">
        <f>TRUE()</f>
        <v>1</v>
      </c>
      <c r="N435" t="b">
        <f>FALSE()</f>
        <v>0</v>
      </c>
      <c r="O435" s="18" t="b">
        <f t="shared" si="20"/>
        <v>0</v>
      </c>
    </row>
    <row r="436" spans="1:15" x14ac:dyDescent="0.35">
      <c r="A436">
        <v>40966</v>
      </c>
      <c r="B436">
        <v>1890</v>
      </c>
      <c r="C436" t="s">
        <v>27</v>
      </c>
      <c r="D436" t="s">
        <v>31</v>
      </c>
      <c r="E436" t="s">
        <v>29</v>
      </c>
      <c r="F436">
        <v>10</v>
      </c>
      <c r="G436">
        <v>2505</v>
      </c>
      <c r="H436">
        <v>919.58550000000002</v>
      </c>
      <c r="K436" t="str">
        <f t="shared" si="18"/>
        <v>1.5%</v>
      </c>
      <c r="L436" t="str">
        <f t="shared" si="19"/>
        <v>Need Improvement</v>
      </c>
      <c r="M436" t="b">
        <f>TRUE()</f>
        <v>1</v>
      </c>
      <c r="N436" t="b">
        <f>FALSE()</f>
        <v>0</v>
      </c>
      <c r="O436" s="18" t="b">
        <f t="shared" si="20"/>
        <v>0</v>
      </c>
    </row>
    <row r="437" spans="1:15" x14ac:dyDescent="0.35">
      <c r="A437">
        <v>40967</v>
      </c>
      <c r="B437">
        <v>1525</v>
      </c>
      <c r="C437" t="s">
        <v>23</v>
      </c>
      <c r="D437" t="s">
        <v>31</v>
      </c>
      <c r="E437" t="s">
        <v>25</v>
      </c>
      <c r="F437">
        <v>10</v>
      </c>
      <c r="G437">
        <v>11700</v>
      </c>
      <c r="H437">
        <v>898.09199999999998</v>
      </c>
      <c r="K437" t="str">
        <f t="shared" si="18"/>
        <v>5%</v>
      </c>
      <c r="L437" t="str">
        <f t="shared" si="19"/>
        <v>Good</v>
      </c>
      <c r="M437" t="b">
        <f>TRUE()</f>
        <v>1</v>
      </c>
      <c r="N437" t="b">
        <f>FALSE()</f>
        <v>0</v>
      </c>
      <c r="O437" s="18" t="b">
        <f t="shared" si="20"/>
        <v>0</v>
      </c>
    </row>
    <row r="438" spans="1:15" x14ac:dyDescent="0.35">
      <c r="A438">
        <v>40969</v>
      </c>
      <c r="B438">
        <v>1891</v>
      </c>
      <c r="C438" t="s">
        <v>23</v>
      </c>
      <c r="D438" t="s">
        <v>31</v>
      </c>
      <c r="E438" t="s">
        <v>29</v>
      </c>
      <c r="F438">
        <v>6</v>
      </c>
      <c r="G438">
        <v>10710</v>
      </c>
      <c r="H438">
        <v>3991.6170000000002</v>
      </c>
      <c r="K438" t="str">
        <f t="shared" si="18"/>
        <v>5%</v>
      </c>
      <c r="L438" t="str">
        <f t="shared" si="19"/>
        <v>Good</v>
      </c>
      <c r="M438" t="b">
        <f>TRUE()</f>
        <v>1</v>
      </c>
      <c r="N438" t="b">
        <f>FALSE()</f>
        <v>0</v>
      </c>
      <c r="O438" s="18" t="b">
        <f t="shared" si="20"/>
        <v>0</v>
      </c>
    </row>
    <row r="439" spans="1:15" x14ac:dyDescent="0.35">
      <c r="A439">
        <v>40970</v>
      </c>
      <c r="B439">
        <v>1526</v>
      </c>
      <c r="C439" t="s">
        <v>26</v>
      </c>
      <c r="D439" t="s">
        <v>31</v>
      </c>
      <c r="E439" t="s">
        <v>25</v>
      </c>
      <c r="F439">
        <v>6</v>
      </c>
      <c r="G439">
        <v>7290</v>
      </c>
      <c r="H439">
        <v>3225.0960000000005</v>
      </c>
      <c r="K439" t="str">
        <f t="shared" si="18"/>
        <v>2.5%</v>
      </c>
      <c r="L439" t="str">
        <f t="shared" si="19"/>
        <v>Need Improvement</v>
      </c>
      <c r="M439" t="b">
        <f>TRUE()</f>
        <v>1</v>
      </c>
      <c r="N439" t="b">
        <f>FALSE()</f>
        <v>0</v>
      </c>
      <c r="O439" s="18" t="b">
        <f t="shared" si="20"/>
        <v>0</v>
      </c>
    </row>
    <row r="440" spans="1:15" x14ac:dyDescent="0.35">
      <c r="A440">
        <v>40971</v>
      </c>
      <c r="B440">
        <v>1892</v>
      </c>
      <c r="C440" t="s">
        <v>26</v>
      </c>
      <c r="D440" t="s">
        <v>31</v>
      </c>
      <c r="E440" t="s">
        <v>29</v>
      </c>
      <c r="F440">
        <v>9</v>
      </c>
      <c r="G440">
        <v>2085.75</v>
      </c>
      <c r="H440">
        <v>839.30579999999998</v>
      </c>
      <c r="K440" t="str">
        <f t="shared" si="18"/>
        <v>1.5%</v>
      </c>
      <c r="L440" t="str">
        <f t="shared" si="19"/>
        <v>Need Improvement</v>
      </c>
      <c r="M440" t="b">
        <f>TRUE()</f>
        <v>1</v>
      </c>
      <c r="N440" t="b">
        <f>FALSE()</f>
        <v>0</v>
      </c>
      <c r="O440" s="18" t="b">
        <f t="shared" si="20"/>
        <v>0</v>
      </c>
    </row>
    <row r="441" spans="1:15" x14ac:dyDescent="0.35">
      <c r="A441">
        <v>40972</v>
      </c>
      <c r="B441">
        <v>1527</v>
      </c>
      <c r="C441" t="s">
        <v>27</v>
      </c>
      <c r="D441" t="s">
        <v>31</v>
      </c>
      <c r="E441" t="s">
        <v>28</v>
      </c>
      <c r="F441">
        <v>9</v>
      </c>
      <c r="G441">
        <v>2358</v>
      </c>
      <c r="H441">
        <v>970.08119999999997</v>
      </c>
      <c r="K441" t="str">
        <f t="shared" si="18"/>
        <v>1.5%</v>
      </c>
      <c r="L441" t="str">
        <f t="shared" si="19"/>
        <v>Need Improvement</v>
      </c>
      <c r="M441" t="b">
        <f>TRUE()</f>
        <v>1</v>
      </c>
      <c r="N441" t="b">
        <f>FALSE()</f>
        <v>0</v>
      </c>
      <c r="O441" s="18" t="b">
        <f t="shared" si="20"/>
        <v>0</v>
      </c>
    </row>
    <row r="442" spans="1:15" x14ac:dyDescent="0.35">
      <c r="A442">
        <v>40973</v>
      </c>
      <c r="B442">
        <v>1893</v>
      </c>
      <c r="C442" t="s">
        <v>27</v>
      </c>
      <c r="D442" t="s">
        <v>31</v>
      </c>
      <c r="E442" t="s">
        <v>25</v>
      </c>
      <c r="F442">
        <v>9</v>
      </c>
      <c r="G442">
        <v>8829</v>
      </c>
      <c r="H442">
        <v>833.8990500000001</v>
      </c>
      <c r="K442" t="str">
        <f t="shared" si="18"/>
        <v>2.5%</v>
      </c>
      <c r="L442" t="str">
        <f t="shared" si="19"/>
        <v>Need Improvement</v>
      </c>
      <c r="M442" t="b">
        <f>TRUE()</f>
        <v>1</v>
      </c>
      <c r="N442" t="b">
        <f>FALSE()</f>
        <v>0</v>
      </c>
      <c r="O442" s="18" t="b">
        <f t="shared" si="20"/>
        <v>0</v>
      </c>
    </row>
    <row r="443" spans="1:15" x14ac:dyDescent="0.35">
      <c r="A443">
        <v>41339</v>
      </c>
      <c r="B443">
        <v>1528</v>
      </c>
      <c r="C443" t="s">
        <v>23</v>
      </c>
      <c r="D443" t="s">
        <v>31</v>
      </c>
      <c r="E443" t="s">
        <v>28</v>
      </c>
      <c r="F443">
        <v>8</v>
      </c>
      <c r="G443">
        <v>4288</v>
      </c>
      <c r="H443">
        <v>4340.5280000000002</v>
      </c>
      <c r="K443" t="str">
        <f t="shared" si="18"/>
        <v>1.5%</v>
      </c>
      <c r="L443" t="str">
        <f t="shared" si="19"/>
        <v>Need Improvement</v>
      </c>
      <c r="M443" t="b">
        <f>TRUE()</f>
        <v>1</v>
      </c>
      <c r="N443" t="b">
        <f>FALSE()</f>
        <v>0</v>
      </c>
      <c r="O443" s="18" t="b">
        <f t="shared" si="20"/>
        <v>0</v>
      </c>
    </row>
    <row r="444" spans="1:15" x14ac:dyDescent="0.35">
      <c r="A444">
        <v>41340</v>
      </c>
      <c r="B444">
        <v>1902</v>
      </c>
      <c r="C444" t="s">
        <v>27</v>
      </c>
      <c r="D444" t="s">
        <v>31</v>
      </c>
      <c r="E444" t="s">
        <v>25</v>
      </c>
      <c r="F444">
        <v>9</v>
      </c>
      <c r="G444">
        <v>8977.5</v>
      </c>
      <c r="H444">
        <v>1609.1271000000002</v>
      </c>
      <c r="K444" t="str">
        <f t="shared" si="18"/>
        <v>2.5%</v>
      </c>
      <c r="L444" t="str">
        <f t="shared" si="19"/>
        <v>Need Improvement</v>
      </c>
      <c r="M444" t="b">
        <f>TRUE()</f>
        <v>1</v>
      </c>
      <c r="N444" t="b">
        <f>FALSE()</f>
        <v>0</v>
      </c>
      <c r="O444" s="18" t="b">
        <f t="shared" si="20"/>
        <v>0</v>
      </c>
    </row>
    <row r="445" spans="1:15" x14ac:dyDescent="0.35">
      <c r="A445">
        <v>41341</v>
      </c>
      <c r="B445">
        <v>1903</v>
      </c>
      <c r="C445" t="s">
        <v>23</v>
      </c>
      <c r="D445" t="s">
        <v>31</v>
      </c>
      <c r="E445" t="s">
        <v>25</v>
      </c>
      <c r="F445">
        <v>6</v>
      </c>
      <c r="G445">
        <v>2232</v>
      </c>
      <c r="H445">
        <v>2974.8096</v>
      </c>
      <c r="K445" t="str">
        <f t="shared" si="18"/>
        <v>1.5%</v>
      </c>
      <c r="L445" t="str">
        <f t="shared" si="19"/>
        <v>Need Improvement</v>
      </c>
      <c r="M445" t="b">
        <f>TRUE()</f>
        <v>1</v>
      </c>
      <c r="N445" t="b">
        <f>FALSE()</f>
        <v>0</v>
      </c>
      <c r="O445" s="18" t="b">
        <f t="shared" si="20"/>
        <v>0</v>
      </c>
    </row>
    <row r="446" spans="1:15" x14ac:dyDescent="0.35">
      <c r="A446">
        <v>41342</v>
      </c>
      <c r="B446">
        <v>1904</v>
      </c>
      <c r="C446" t="s">
        <v>26</v>
      </c>
      <c r="D446" t="s">
        <v>31</v>
      </c>
      <c r="E446" t="s">
        <v>25</v>
      </c>
      <c r="F446">
        <v>9</v>
      </c>
      <c r="G446">
        <v>13365</v>
      </c>
      <c r="H446">
        <v>5565.1859999999997</v>
      </c>
      <c r="K446" t="str">
        <f t="shared" si="18"/>
        <v>5%</v>
      </c>
      <c r="L446" t="str">
        <f t="shared" si="19"/>
        <v>Good</v>
      </c>
      <c r="M446" t="b">
        <f>TRUE()</f>
        <v>1</v>
      </c>
      <c r="N446" t="b">
        <f>FALSE()</f>
        <v>0</v>
      </c>
      <c r="O446" s="18" t="b">
        <f t="shared" si="20"/>
        <v>0</v>
      </c>
    </row>
    <row r="447" spans="1:15" x14ac:dyDescent="0.35">
      <c r="A447">
        <v>41343</v>
      </c>
      <c r="B447">
        <v>1905</v>
      </c>
      <c r="C447" t="s">
        <v>27</v>
      </c>
      <c r="D447" t="s">
        <v>31</v>
      </c>
      <c r="E447" t="s">
        <v>28</v>
      </c>
      <c r="F447">
        <v>7</v>
      </c>
      <c r="G447">
        <v>2220.75</v>
      </c>
      <c r="H447">
        <v>982.68187499999999</v>
      </c>
      <c r="K447" t="str">
        <f t="shared" si="18"/>
        <v>1.5%</v>
      </c>
      <c r="L447" t="str">
        <f t="shared" si="19"/>
        <v>Need Improvement</v>
      </c>
      <c r="M447" t="b">
        <f>TRUE()</f>
        <v>1</v>
      </c>
      <c r="N447" t="b">
        <f>FALSE()</f>
        <v>0</v>
      </c>
      <c r="O447" s="18" t="b">
        <f t="shared" si="20"/>
        <v>0</v>
      </c>
    </row>
    <row r="448" spans="1:15" x14ac:dyDescent="0.35">
      <c r="A448">
        <v>41344</v>
      </c>
      <c r="B448">
        <v>1906</v>
      </c>
      <c r="C448" t="s">
        <v>23</v>
      </c>
      <c r="D448" t="s">
        <v>31</v>
      </c>
      <c r="E448" t="s">
        <v>28</v>
      </c>
      <c r="F448">
        <v>6</v>
      </c>
      <c r="G448">
        <v>5616</v>
      </c>
      <c r="H448">
        <v>4112.7840000000006</v>
      </c>
      <c r="K448" t="str">
        <f t="shared" si="18"/>
        <v>2.5%</v>
      </c>
      <c r="L448" t="str">
        <f t="shared" si="19"/>
        <v>Need Improvement</v>
      </c>
      <c r="M448" t="b">
        <f>TRUE()</f>
        <v>1</v>
      </c>
      <c r="N448" t="b">
        <f>FALSE()</f>
        <v>0</v>
      </c>
      <c r="O448" s="18" t="b">
        <f t="shared" si="20"/>
        <v>0</v>
      </c>
    </row>
    <row r="449" spans="1:15" x14ac:dyDescent="0.35">
      <c r="A449">
        <v>41345</v>
      </c>
      <c r="B449">
        <v>1542</v>
      </c>
      <c r="C449" t="s">
        <v>27</v>
      </c>
      <c r="D449" t="s">
        <v>31</v>
      </c>
      <c r="E449" t="s">
        <v>25</v>
      </c>
      <c r="F449">
        <v>9</v>
      </c>
      <c r="G449">
        <v>1984.5</v>
      </c>
      <c r="H449">
        <v>4042.4264999999996</v>
      </c>
      <c r="K449" t="str">
        <f t="shared" si="18"/>
        <v>1.5%</v>
      </c>
      <c r="L449" t="str">
        <f t="shared" si="19"/>
        <v>Need Improvement</v>
      </c>
      <c r="M449" t="b">
        <f>TRUE()</f>
        <v>1</v>
      </c>
      <c r="N449" t="b">
        <f>FALSE()</f>
        <v>0</v>
      </c>
      <c r="O449" s="18" t="b">
        <f t="shared" si="20"/>
        <v>0</v>
      </c>
    </row>
    <row r="450" spans="1:15" x14ac:dyDescent="0.35">
      <c r="A450">
        <v>41346</v>
      </c>
      <c r="B450">
        <v>1907</v>
      </c>
      <c r="C450" t="s">
        <v>26</v>
      </c>
      <c r="D450" t="s">
        <v>31</v>
      </c>
      <c r="E450" t="s">
        <v>28</v>
      </c>
      <c r="F450">
        <v>6</v>
      </c>
      <c r="G450">
        <v>7344</v>
      </c>
      <c r="H450">
        <v>3077.8703999999998</v>
      </c>
      <c r="K450" t="str">
        <f t="shared" si="18"/>
        <v>2.5%</v>
      </c>
      <c r="L450" t="str">
        <f t="shared" si="19"/>
        <v>Need Improvement</v>
      </c>
      <c r="M450" t="b">
        <f>TRUE()</f>
        <v>1</v>
      </c>
      <c r="N450" t="b">
        <f>FALSE()</f>
        <v>0</v>
      </c>
      <c r="O450" s="18" t="b">
        <f t="shared" si="20"/>
        <v>0</v>
      </c>
    </row>
    <row r="451" spans="1:15" x14ac:dyDescent="0.35">
      <c r="A451">
        <v>41347</v>
      </c>
      <c r="B451">
        <v>1543</v>
      </c>
      <c r="C451" t="s">
        <v>23</v>
      </c>
      <c r="D451" t="s">
        <v>31</v>
      </c>
      <c r="E451" t="s">
        <v>25</v>
      </c>
      <c r="F451">
        <v>9</v>
      </c>
      <c r="G451">
        <v>7587</v>
      </c>
      <c r="H451">
        <v>4445.982</v>
      </c>
      <c r="K451" t="str">
        <f t="shared" ref="K451:K514" si="21">IF(G451&gt;10000,"5%",IF(AND(G451&gt;=5000,G451&lt;10000),"2.5%","1.5%"))</f>
        <v>2.5%</v>
      </c>
      <c r="L451" t="str">
        <f t="shared" ref="L451:L514" si="22">IF(OR(G451&gt;10000,H451&gt;=5000),"Good","Need Improvement")</f>
        <v>Need Improvement</v>
      </c>
      <c r="M451" t="b">
        <f>TRUE()</f>
        <v>1</v>
      </c>
      <c r="N451" t="b">
        <f>FALSE()</f>
        <v>0</v>
      </c>
      <c r="O451" s="18" t="b">
        <f t="shared" ref="O451:O514" si="23">NOT(M451)</f>
        <v>0</v>
      </c>
    </row>
    <row r="452" spans="1:15" x14ac:dyDescent="0.35">
      <c r="A452">
        <v>41348</v>
      </c>
      <c r="B452">
        <v>1908</v>
      </c>
      <c r="C452" t="s">
        <v>27</v>
      </c>
      <c r="D452" t="s">
        <v>31</v>
      </c>
      <c r="E452" t="s">
        <v>29</v>
      </c>
      <c r="F452">
        <v>6</v>
      </c>
      <c r="G452">
        <v>3834</v>
      </c>
      <c r="H452">
        <v>3564.6615000000002</v>
      </c>
      <c r="K452" t="str">
        <f t="shared" si="21"/>
        <v>1.5%</v>
      </c>
      <c r="L452" t="str">
        <f t="shared" si="22"/>
        <v>Need Improvement</v>
      </c>
      <c r="M452" t="b">
        <f>TRUE()</f>
        <v>1</v>
      </c>
      <c r="N452" t="b">
        <f>FALSE()</f>
        <v>0</v>
      </c>
      <c r="O452" s="18" t="b">
        <f t="shared" si="23"/>
        <v>0</v>
      </c>
    </row>
    <row r="453" spans="1:15" x14ac:dyDescent="0.35">
      <c r="A453">
        <v>41349</v>
      </c>
      <c r="B453">
        <v>1544</v>
      </c>
      <c r="C453" t="s">
        <v>26</v>
      </c>
      <c r="D453" t="s">
        <v>31</v>
      </c>
      <c r="E453" t="s">
        <v>25</v>
      </c>
      <c r="F453">
        <v>8</v>
      </c>
      <c r="G453">
        <v>14940</v>
      </c>
      <c r="H453">
        <v>1164.7223999999999</v>
      </c>
      <c r="K453" t="str">
        <f t="shared" si="21"/>
        <v>5%</v>
      </c>
      <c r="L453" t="str">
        <f t="shared" si="22"/>
        <v>Good</v>
      </c>
      <c r="M453" t="b">
        <f>TRUE()</f>
        <v>1</v>
      </c>
      <c r="N453" t="b">
        <f>FALSE()</f>
        <v>0</v>
      </c>
      <c r="O453" s="18" t="b">
        <f t="shared" si="23"/>
        <v>0</v>
      </c>
    </row>
    <row r="454" spans="1:15" x14ac:dyDescent="0.35">
      <c r="A454">
        <v>41350</v>
      </c>
      <c r="B454">
        <v>1909</v>
      </c>
      <c r="C454" t="s">
        <v>23</v>
      </c>
      <c r="D454" t="s">
        <v>31</v>
      </c>
      <c r="E454" t="s">
        <v>29</v>
      </c>
      <c r="F454">
        <v>8</v>
      </c>
      <c r="G454">
        <v>2280</v>
      </c>
      <c r="H454">
        <v>737.58</v>
      </c>
      <c r="K454" t="str">
        <f t="shared" si="21"/>
        <v>1.5%</v>
      </c>
      <c r="L454" t="str">
        <f t="shared" si="22"/>
        <v>Need Improvement</v>
      </c>
      <c r="M454" t="b">
        <f>TRUE()</f>
        <v>1</v>
      </c>
      <c r="N454" t="b">
        <f>FALSE()</f>
        <v>0</v>
      </c>
      <c r="O454" s="18" t="b">
        <f t="shared" si="23"/>
        <v>0</v>
      </c>
    </row>
    <row r="455" spans="1:15" x14ac:dyDescent="0.35">
      <c r="A455">
        <v>41351</v>
      </c>
      <c r="B455">
        <v>1545</v>
      </c>
      <c r="C455" t="s">
        <v>27</v>
      </c>
      <c r="D455" t="s">
        <v>31</v>
      </c>
      <c r="E455" t="s">
        <v>28</v>
      </c>
      <c r="F455">
        <v>10</v>
      </c>
      <c r="G455">
        <v>13800</v>
      </c>
      <c r="H455">
        <v>1811.6640000000002</v>
      </c>
      <c r="K455" t="str">
        <f t="shared" si="21"/>
        <v>5%</v>
      </c>
      <c r="L455" t="str">
        <f t="shared" si="22"/>
        <v>Good</v>
      </c>
      <c r="M455" t="b">
        <f>TRUE()</f>
        <v>1</v>
      </c>
      <c r="N455" t="b">
        <f>FALSE()</f>
        <v>0</v>
      </c>
      <c r="O455" s="18" t="b">
        <f t="shared" si="23"/>
        <v>0</v>
      </c>
    </row>
    <row r="456" spans="1:15" x14ac:dyDescent="0.35">
      <c r="A456">
        <v>41352</v>
      </c>
      <c r="B456">
        <v>1910</v>
      </c>
      <c r="C456" t="s">
        <v>26</v>
      </c>
      <c r="D456" t="s">
        <v>31</v>
      </c>
      <c r="E456" t="s">
        <v>29</v>
      </c>
      <c r="F456">
        <v>8</v>
      </c>
      <c r="G456">
        <v>4048</v>
      </c>
      <c r="H456">
        <v>3422.1792</v>
      </c>
      <c r="K456" t="str">
        <f t="shared" si="21"/>
        <v>1.5%</v>
      </c>
      <c r="L456" t="str">
        <f t="shared" si="22"/>
        <v>Need Improvement</v>
      </c>
      <c r="M456" t="b">
        <f>TRUE()</f>
        <v>1</v>
      </c>
      <c r="N456" t="b">
        <f>FALSE()</f>
        <v>0</v>
      </c>
      <c r="O456" s="18" t="b">
        <f t="shared" si="23"/>
        <v>0</v>
      </c>
    </row>
    <row r="457" spans="1:15" x14ac:dyDescent="0.35">
      <c r="A457">
        <v>41353</v>
      </c>
      <c r="B457">
        <v>1546</v>
      </c>
      <c r="C457" t="s">
        <v>23</v>
      </c>
      <c r="D457" t="s">
        <v>31</v>
      </c>
      <c r="E457" t="s">
        <v>28</v>
      </c>
      <c r="F457">
        <v>8</v>
      </c>
      <c r="G457">
        <v>2106</v>
      </c>
      <c r="H457">
        <v>2156.9651999999996</v>
      </c>
      <c r="K457" t="str">
        <f t="shared" si="21"/>
        <v>1.5%</v>
      </c>
      <c r="L457" t="str">
        <f t="shared" si="22"/>
        <v>Need Improvement</v>
      </c>
      <c r="M457" t="b">
        <f>TRUE()</f>
        <v>1</v>
      </c>
      <c r="N457" t="b">
        <f>FALSE()</f>
        <v>0</v>
      </c>
      <c r="O457" s="18" t="b">
        <f t="shared" si="23"/>
        <v>0</v>
      </c>
    </row>
    <row r="458" spans="1:15" x14ac:dyDescent="0.35">
      <c r="A458">
        <v>41354</v>
      </c>
      <c r="B458">
        <v>1547</v>
      </c>
      <c r="C458" t="s">
        <v>26</v>
      </c>
      <c r="D458" t="s">
        <v>31</v>
      </c>
      <c r="E458" t="s">
        <v>28</v>
      </c>
      <c r="F458">
        <v>8</v>
      </c>
      <c r="G458">
        <v>7920</v>
      </c>
      <c r="H458">
        <v>2503.5120000000002</v>
      </c>
      <c r="K458" t="str">
        <f t="shared" si="21"/>
        <v>2.5%</v>
      </c>
      <c r="L458" t="str">
        <f t="shared" si="22"/>
        <v>Need Improvement</v>
      </c>
      <c r="M458" t="b">
        <f>TRUE()</f>
        <v>1</v>
      </c>
      <c r="N458" t="b">
        <f>FALSE()</f>
        <v>0</v>
      </c>
      <c r="O458" s="18" t="b">
        <f t="shared" si="23"/>
        <v>0</v>
      </c>
    </row>
    <row r="459" spans="1:15" x14ac:dyDescent="0.35">
      <c r="A459">
        <v>41355</v>
      </c>
      <c r="B459">
        <v>1548</v>
      </c>
      <c r="C459" t="s">
        <v>27</v>
      </c>
      <c r="D459" t="s">
        <v>31</v>
      </c>
      <c r="E459" t="s">
        <v>29</v>
      </c>
      <c r="F459">
        <v>9</v>
      </c>
      <c r="G459">
        <v>10044</v>
      </c>
      <c r="H459">
        <v>984.81420000000003</v>
      </c>
      <c r="K459" t="str">
        <f t="shared" si="21"/>
        <v>5%</v>
      </c>
      <c r="L459" t="str">
        <f t="shared" si="22"/>
        <v>Good</v>
      </c>
      <c r="M459" t="b">
        <f>TRUE()</f>
        <v>1</v>
      </c>
      <c r="N459" t="b">
        <f>FALSE()</f>
        <v>0</v>
      </c>
      <c r="O459" s="18" t="b">
        <f t="shared" si="23"/>
        <v>0</v>
      </c>
    </row>
    <row r="460" spans="1:15" x14ac:dyDescent="0.35">
      <c r="A460">
        <v>41356</v>
      </c>
      <c r="B460">
        <v>1549</v>
      </c>
      <c r="C460" t="s">
        <v>23</v>
      </c>
      <c r="D460" t="s">
        <v>31</v>
      </c>
      <c r="E460" t="s">
        <v>29</v>
      </c>
      <c r="F460">
        <v>8</v>
      </c>
      <c r="G460">
        <v>3144</v>
      </c>
      <c r="H460">
        <v>3420.6719999999996</v>
      </c>
      <c r="K460" t="str">
        <f t="shared" si="21"/>
        <v>1.5%</v>
      </c>
      <c r="L460" t="str">
        <f t="shared" si="22"/>
        <v>Need Improvement</v>
      </c>
      <c r="M460" t="b">
        <f>TRUE()</f>
        <v>1</v>
      </c>
      <c r="N460" t="b">
        <f>FALSE()</f>
        <v>0</v>
      </c>
      <c r="O460" s="18" t="b">
        <f t="shared" si="23"/>
        <v>0</v>
      </c>
    </row>
    <row r="461" spans="1:15" x14ac:dyDescent="0.35">
      <c r="A461">
        <v>41357</v>
      </c>
      <c r="B461">
        <v>1550</v>
      </c>
      <c r="C461" t="s">
        <v>26</v>
      </c>
      <c r="D461" t="s">
        <v>31</v>
      </c>
      <c r="E461" t="s">
        <v>29</v>
      </c>
      <c r="F461">
        <v>10</v>
      </c>
      <c r="G461">
        <v>10020</v>
      </c>
      <c r="H461">
        <v>3834.6539999999995</v>
      </c>
      <c r="K461" t="str">
        <f t="shared" si="21"/>
        <v>5%</v>
      </c>
      <c r="L461" t="str">
        <f t="shared" si="22"/>
        <v>Good</v>
      </c>
      <c r="M461" t="b">
        <f>TRUE()</f>
        <v>1</v>
      </c>
      <c r="N461" t="b">
        <f>FALSE()</f>
        <v>0</v>
      </c>
      <c r="O461" s="18" t="b">
        <f t="shared" si="23"/>
        <v>0</v>
      </c>
    </row>
    <row r="462" spans="1:15" x14ac:dyDescent="0.35">
      <c r="A462">
        <v>41358</v>
      </c>
      <c r="B462">
        <v>1938</v>
      </c>
      <c r="C462" t="s">
        <v>27</v>
      </c>
      <c r="D462" t="s">
        <v>31</v>
      </c>
      <c r="E462" t="s">
        <v>25</v>
      </c>
      <c r="F462">
        <v>7</v>
      </c>
      <c r="G462">
        <v>2016</v>
      </c>
      <c r="H462">
        <v>1776.096</v>
      </c>
      <c r="K462" t="str">
        <f t="shared" si="21"/>
        <v>1.5%</v>
      </c>
      <c r="L462" t="str">
        <f t="shared" si="22"/>
        <v>Need Improvement</v>
      </c>
      <c r="M462" t="b">
        <f>TRUE()</f>
        <v>1</v>
      </c>
      <c r="N462" t="b">
        <f>FALSE()</f>
        <v>0</v>
      </c>
      <c r="O462" s="18" t="b">
        <f t="shared" si="23"/>
        <v>0</v>
      </c>
    </row>
    <row r="463" spans="1:15" x14ac:dyDescent="0.35">
      <c r="A463">
        <v>41359</v>
      </c>
      <c r="B463">
        <v>1939</v>
      </c>
      <c r="C463" t="s">
        <v>23</v>
      </c>
      <c r="D463" t="s">
        <v>31</v>
      </c>
      <c r="E463" t="s">
        <v>25</v>
      </c>
      <c r="F463">
        <v>10</v>
      </c>
      <c r="G463">
        <v>7335</v>
      </c>
      <c r="H463">
        <v>3707.598</v>
      </c>
      <c r="K463" t="str">
        <f t="shared" si="21"/>
        <v>2.5%</v>
      </c>
      <c r="L463" t="str">
        <f t="shared" si="22"/>
        <v>Need Improvement</v>
      </c>
      <c r="M463" t="b">
        <f>TRUE()</f>
        <v>1</v>
      </c>
      <c r="N463" t="b">
        <f>FALSE()</f>
        <v>0</v>
      </c>
      <c r="O463" s="18" t="b">
        <f t="shared" si="23"/>
        <v>0</v>
      </c>
    </row>
    <row r="464" spans="1:15" x14ac:dyDescent="0.35">
      <c r="A464">
        <v>41360</v>
      </c>
      <c r="B464">
        <v>1940</v>
      </c>
      <c r="C464" t="s">
        <v>26</v>
      </c>
      <c r="D464" t="s">
        <v>31</v>
      </c>
      <c r="E464" t="s">
        <v>25</v>
      </c>
      <c r="F464">
        <v>10</v>
      </c>
      <c r="G464">
        <v>5310</v>
      </c>
      <c r="H464">
        <v>2214.6240000000003</v>
      </c>
      <c r="K464" t="str">
        <f t="shared" si="21"/>
        <v>2.5%</v>
      </c>
      <c r="L464" t="str">
        <f t="shared" si="22"/>
        <v>Need Improvement</v>
      </c>
      <c r="M464" t="b">
        <f>TRUE()</f>
        <v>1</v>
      </c>
      <c r="N464" t="b">
        <f>FALSE()</f>
        <v>0</v>
      </c>
      <c r="O464" s="18" t="b">
        <f t="shared" si="23"/>
        <v>0</v>
      </c>
    </row>
    <row r="465" spans="1:15" x14ac:dyDescent="0.35">
      <c r="A465">
        <v>41361</v>
      </c>
      <c r="B465">
        <v>1941</v>
      </c>
      <c r="C465" t="s">
        <v>27</v>
      </c>
      <c r="D465" t="s">
        <v>31</v>
      </c>
      <c r="E465" t="s">
        <v>28</v>
      </c>
      <c r="F465">
        <v>6</v>
      </c>
      <c r="G465">
        <v>7812</v>
      </c>
      <c r="H465">
        <v>666.16830000000004</v>
      </c>
      <c r="K465" t="str">
        <f t="shared" si="21"/>
        <v>2.5%</v>
      </c>
      <c r="L465" t="str">
        <f t="shared" si="22"/>
        <v>Need Improvement</v>
      </c>
      <c r="M465" t="b">
        <f>TRUE()</f>
        <v>1</v>
      </c>
      <c r="N465" t="b">
        <f>FALSE()</f>
        <v>0</v>
      </c>
      <c r="O465" s="18" t="b">
        <f t="shared" si="23"/>
        <v>0</v>
      </c>
    </row>
    <row r="466" spans="1:15" x14ac:dyDescent="0.35">
      <c r="A466">
        <v>41362</v>
      </c>
      <c r="B466">
        <v>1942</v>
      </c>
      <c r="C466" t="s">
        <v>23</v>
      </c>
      <c r="D466" t="s">
        <v>31</v>
      </c>
      <c r="E466" t="s">
        <v>28</v>
      </c>
      <c r="F466">
        <v>10</v>
      </c>
      <c r="G466">
        <v>7785</v>
      </c>
      <c r="H466">
        <v>4436.4120000000003</v>
      </c>
      <c r="K466" t="str">
        <f t="shared" si="21"/>
        <v>2.5%</v>
      </c>
      <c r="L466" t="str">
        <f t="shared" si="22"/>
        <v>Need Improvement</v>
      </c>
      <c r="M466" t="b">
        <f>TRUE()</f>
        <v>1</v>
      </c>
      <c r="N466" t="b">
        <f>FALSE()</f>
        <v>0</v>
      </c>
      <c r="O466" s="18" t="b">
        <f t="shared" si="23"/>
        <v>0</v>
      </c>
    </row>
    <row r="467" spans="1:15" x14ac:dyDescent="0.35">
      <c r="A467">
        <v>41363</v>
      </c>
      <c r="B467">
        <v>1578</v>
      </c>
      <c r="C467" t="s">
        <v>27</v>
      </c>
      <c r="D467" t="s">
        <v>31</v>
      </c>
      <c r="E467" t="s">
        <v>25</v>
      </c>
      <c r="F467">
        <v>8</v>
      </c>
      <c r="G467">
        <v>6876</v>
      </c>
      <c r="H467">
        <v>1720.8336000000002</v>
      </c>
      <c r="K467" t="str">
        <f t="shared" si="21"/>
        <v>2.5%</v>
      </c>
      <c r="L467" t="str">
        <f t="shared" si="22"/>
        <v>Need Improvement</v>
      </c>
      <c r="M467" t="b">
        <f>TRUE()</f>
        <v>1</v>
      </c>
      <c r="N467" t="b">
        <f>FALSE()</f>
        <v>0</v>
      </c>
      <c r="O467" s="18" t="b">
        <f t="shared" si="23"/>
        <v>0</v>
      </c>
    </row>
    <row r="468" spans="1:15" x14ac:dyDescent="0.35">
      <c r="A468">
        <v>41364</v>
      </c>
      <c r="B468">
        <v>1943</v>
      </c>
      <c r="C468" t="s">
        <v>26</v>
      </c>
      <c r="D468" t="s">
        <v>31</v>
      </c>
      <c r="E468" t="s">
        <v>28</v>
      </c>
      <c r="F468">
        <v>9</v>
      </c>
      <c r="G468">
        <v>2646</v>
      </c>
      <c r="H468">
        <v>1056.8124</v>
      </c>
      <c r="K468" t="str">
        <f t="shared" si="21"/>
        <v>1.5%</v>
      </c>
      <c r="L468" t="str">
        <f t="shared" si="22"/>
        <v>Need Improvement</v>
      </c>
      <c r="M468" t="b">
        <f>TRUE()</f>
        <v>1</v>
      </c>
      <c r="N468" t="b">
        <f>FALSE()</f>
        <v>0</v>
      </c>
      <c r="O468" s="18" t="b">
        <f t="shared" si="23"/>
        <v>0</v>
      </c>
    </row>
    <row r="469" spans="1:15" x14ac:dyDescent="0.35">
      <c r="A469">
        <v>41365</v>
      </c>
      <c r="B469">
        <v>1579</v>
      </c>
      <c r="C469" t="s">
        <v>23</v>
      </c>
      <c r="D469" t="s">
        <v>31</v>
      </c>
      <c r="E469" t="s">
        <v>25</v>
      </c>
      <c r="F469">
        <v>7</v>
      </c>
      <c r="G469">
        <v>1533</v>
      </c>
      <c r="H469">
        <v>2004.2442000000001</v>
      </c>
      <c r="K469" t="str">
        <f t="shared" si="21"/>
        <v>1.5%</v>
      </c>
      <c r="L469" t="str">
        <f t="shared" si="22"/>
        <v>Need Improvement</v>
      </c>
      <c r="M469" t="b">
        <f>TRUE()</f>
        <v>1</v>
      </c>
      <c r="N469" t="b">
        <f>FALSE()</f>
        <v>0</v>
      </c>
      <c r="O469" s="18" t="b">
        <f t="shared" si="23"/>
        <v>0</v>
      </c>
    </row>
    <row r="470" spans="1:15" x14ac:dyDescent="0.35">
      <c r="A470">
        <v>41366</v>
      </c>
      <c r="B470">
        <v>1944</v>
      </c>
      <c r="C470" t="s">
        <v>27</v>
      </c>
      <c r="D470" t="s">
        <v>31</v>
      </c>
      <c r="E470" t="s">
        <v>29</v>
      </c>
      <c r="F470">
        <v>7</v>
      </c>
      <c r="G470">
        <v>7140</v>
      </c>
      <c r="H470">
        <v>1653.0884999999996</v>
      </c>
      <c r="K470" t="str">
        <f t="shared" si="21"/>
        <v>2.5%</v>
      </c>
      <c r="L470" t="str">
        <f t="shared" si="22"/>
        <v>Need Improvement</v>
      </c>
      <c r="M470" t="b">
        <f>TRUE()</f>
        <v>1</v>
      </c>
      <c r="N470" t="b">
        <f>FALSE()</f>
        <v>0</v>
      </c>
      <c r="O470" s="18" t="b">
        <f t="shared" si="23"/>
        <v>0</v>
      </c>
    </row>
    <row r="471" spans="1:15" x14ac:dyDescent="0.35">
      <c r="A471">
        <v>41367</v>
      </c>
      <c r="B471">
        <v>1580</v>
      </c>
      <c r="C471" t="s">
        <v>26</v>
      </c>
      <c r="D471" t="s">
        <v>31</v>
      </c>
      <c r="E471" t="s">
        <v>25</v>
      </c>
      <c r="F471">
        <v>7</v>
      </c>
      <c r="G471">
        <v>2030</v>
      </c>
      <c r="H471">
        <v>771.4</v>
      </c>
      <c r="K471" t="str">
        <f t="shared" si="21"/>
        <v>1.5%</v>
      </c>
      <c r="L471" t="str">
        <f t="shared" si="22"/>
        <v>Need Improvement</v>
      </c>
      <c r="M471" t="b">
        <f>TRUE()</f>
        <v>1</v>
      </c>
      <c r="N471" t="b">
        <f>FALSE()</f>
        <v>0</v>
      </c>
      <c r="O471" s="18" t="b">
        <f t="shared" si="23"/>
        <v>0</v>
      </c>
    </row>
    <row r="472" spans="1:15" x14ac:dyDescent="0.35">
      <c r="A472">
        <v>41368</v>
      </c>
      <c r="B472">
        <v>1945</v>
      </c>
      <c r="C472" t="s">
        <v>23</v>
      </c>
      <c r="D472" t="s">
        <v>31</v>
      </c>
      <c r="E472" t="s">
        <v>29</v>
      </c>
      <c r="F472">
        <v>10</v>
      </c>
      <c r="G472">
        <v>2310</v>
      </c>
      <c r="H472">
        <v>944.09699999999998</v>
      </c>
      <c r="K472" t="str">
        <f t="shared" si="21"/>
        <v>1.5%</v>
      </c>
      <c r="L472" t="str">
        <f t="shared" si="22"/>
        <v>Need Improvement</v>
      </c>
      <c r="M472" t="b">
        <f>TRUE()</f>
        <v>1</v>
      </c>
      <c r="N472" t="b">
        <f>FALSE()</f>
        <v>0</v>
      </c>
      <c r="O472" s="18" t="b">
        <f t="shared" si="23"/>
        <v>0</v>
      </c>
    </row>
    <row r="473" spans="1:15" x14ac:dyDescent="0.35">
      <c r="A473">
        <v>41369</v>
      </c>
      <c r="B473">
        <v>1581</v>
      </c>
      <c r="C473" t="s">
        <v>27</v>
      </c>
      <c r="D473" t="s">
        <v>31</v>
      </c>
      <c r="E473" t="s">
        <v>28</v>
      </c>
      <c r="F473">
        <v>7</v>
      </c>
      <c r="G473">
        <v>5386.5</v>
      </c>
      <c r="H473">
        <v>1577.8854000000001</v>
      </c>
      <c r="K473" t="str">
        <f t="shared" si="21"/>
        <v>2.5%</v>
      </c>
      <c r="L473" t="str">
        <f t="shared" si="22"/>
        <v>Need Improvement</v>
      </c>
      <c r="M473" t="b">
        <f>TRUE()</f>
        <v>1</v>
      </c>
      <c r="N473" t="b">
        <f>FALSE()</f>
        <v>0</v>
      </c>
      <c r="O473" s="18" t="b">
        <f t="shared" si="23"/>
        <v>0</v>
      </c>
    </row>
    <row r="474" spans="1:15" x14ac:dyDescent="0.35">
      <c r="A474">
        <v>41370</v>
      </c>
      <c r="B474">
        <v>1946</v>
      </c>
      <c r="C474" t="s">
        <v>26</v>
      </c>
      <c r="D474" t="s">
        <v>31</v>
      </c>
      <c r="E474" t="s">
        <v>29</v>
      </c>
      <c r="F474">
        <v>6</v>
      </c>
      <c r="G474">
        <v>7938</v>
      </c>
      <c r="H474">
        <v>1496.3130000000001</v>
      </c>
      <c r="K474" t="str">
        <f t="shared" si="21"/>
        <v>2.5%</v>
      </c>
      <c r="L474" t="str">
        <f t="shared" si="22"/>
        <v>Need Improvement</v>
      </c>
      <c r="M474" t="b">
        <f>TRUE()</f>
        <v>1</v>
      </c>
      <c r="N474" t="b">
        <f>FALSE()</f>
        <v>0</v>
      </c>
      <c r="O474" s="18" t="b">
        <f t="shared" si="23"/>
        <v>0</v>
      </c>
    </row>
    <row r="475" spans="1:15" x14ac:dyDescent="0.35">
      <c r="A475">
        <v>41371</v>
      </c>
      <c r="B475">
        <v>1582</v>
      </c>
      <c r="C475" t="s">
        <v>23</v>
      </c>
      <c r="D475" t="s">
        <v>31</v>
      </c>
      <c r="E475" t="s">
        <v>28</v>
      </c>
      <c r="F475">
        <v>10</v>
      </c>
      <c r="G475">
        <v>10400</v>
      </c>
      <c r="H475">
        <v>2102.88</v>
      </c>
      <c r="K475" t="str">
        <f t="shared" si="21"/>
        <v>5%</v>
      </c>
      <c r="L475" t="str">
        <f t="shared" si="22"/>
        <v>Good</v>
      </c>
      <c r="M475" t="b">
        <f>TRUE()</f>
        <v>1</v>
      </c>
      <c r="N475" t="b">
        <f>FALSE()</f>
        <v>0</v>
      </c>
      <c r="O475" s="18" t="b">
        <f t="shared" si="23"/>
        <v>0</v>
      </c>
    </row>
    <row r="476" spans="1:15" x14ac:dyDescent="0.35">
      <c r="A476">
        <v>41372</v>
      </c>
      <c r="B476">
        <v>1583</v>
      </c>
      <c r="C476" t="s">
        <v>26</v>
      </c>
      <c r="D476" t="s">
        <v>31</v>
      </c>
      <c r="E476" t="s">
        <v>28</v>
      </c>
      <c r="F476">
        <v>10</v>
      </c>
      <c r="G476">
        <v>2295</v>
      </c>
      <c r="H476">
        <v>937.9665</v>
      </c>
      <c r="K476" t="str">
        <f t="shared" si="21"/>
        <v>1.5%</v>
      </c>
      <c r="L476" t="str">
        <f t="shared" si="22"/>
        <v>Need Improvement</v>
      </c>
      <c r="M476" t="b">
        <f>TRUE()</f>
        <v>1</v>
      </c>
      <c r="N476" t="b">
        <f>FALSE()</f>
        <v>0</v>
      </c>
      <c r="O476" s="18" t="b">
        <f t="shared" si="23"/>
        <v>0</v>
      </c>
    </row>
    <row r="477" spans="1:15" x14ac:dyDescent="0.35">
      <c r="A477">
        <v>41373</v>
      </c>
      <c r="B477">
        <v>1584</v>
      </c>
      <c r="C477" t="s">
        <v>27</v>
      </c>
      <c r="D477" t="s">
        <v>31</v>
      </c>
      <c r="E477" t="s">
        <v>29</v>
      </c>
      <c r="F477">
        <v>10</v>
      </c>
      <c r="G477">
        <v>6120</v>
      </c>
      <c r="H477">
        <v>1800.9119999999998</v>
      </c>
      <c r="K477" t="str">
        <f t="shared" si="21"/>
        <v>2.5%</v>
      </c>
      <c r="L477" t="str">
        <f t="shared" si="22"/>
        <v>Need Improvement</v>
      </c>
      <c r="M477" t="b">
        <f>TRUE()</f>
        <v>1</v>
      </c>
      <c r="N477" t="b">
        <f>FALSE()</f>
        <v>0</v>
      </c>
      <c r="O477" s="18" t="b">
        <f t="shared" si="23"/>
        <v>0</v>
      </c>
    </row>
    <row r="478" spans="1:15" x14ac:dyDescent="0.35">
      <c r="A478">
        <v>41374</v>
      </c>
      <c r="B478">
        <v>1585</v>
      </c>
      <c r="C478" t="s">
        <v>23</v>
      </c>
      <c r="D478" t="s">
        <v>31</v>
      </c>
      <c r="E478" t="s">
        <v>29</v>
      </c>
      <c r="F478">
        <v>6</v>
      </c>
      <c r="G478">
        <v>10395</v>
      </c>
      <c r="H478">
        <v>1761.7446</v>
      </c>
      <c r="K478" t="str">
        <f t="shared" si="21"/>
        <v>5%</v>
      </c>
      <c r="L478" t="str">
        <f t="shared" si="22"/>
        <v>Good</v>
      </c>
      <c r="M478" t="b">
        <f>TRUE()</f>
        <v>1</v>
      </c>
      <c r="N478" t="b">
        <f>FALSE()</f>
        <v>0</v>
      </c>
      <c r="O478" s="18" t="b">
        <f t="shared" si="23"/>
        <v>0</v>
      </c>
    </row>
    <row r="479" spans="1:15" x14ac:dyDescent="0.35">
      <c r="A479">
        <v>41375</v>
      </c>
      <c r="B479">
        <v>1586</v>
      </c>
      <c r="C479" t="s">
        <v>26</v>
      </c>
      <c r="D479" t="s">
        <v>31</v>
      </c>
      <c r="E479" t="s">
        <v>29</v>
      </c>
      <c r="F479">
        <v>6</v>
      </c>
      <c r="G479">
        <v>13365</v>
      </c>
      <c r="H479">
        <v>3555.09</v>
      </c>
      <c r="K479" t="str">
        <f t="shared" si="21"/>
        <v>5%</v>
      </c>
      <c r="L479" t="str">
        <f t="shared" si="22"/>
        <v>Good</v>
      </c>
      <c r="M479" t="b">
        <f>TRUE()</f>
        <v>1</v>
      </c>
      <c r="N479" t="b">
        <f>FALSE()</f>
        <v>0</v>
      </c>
      <c r="O479" s="18" t="b">
        <f t="shared" si="23"/>
        <v>0</v>
      </c>
    </row>
    <row r="480" spans="1:15" x14ac:dyDescent="0.35">
      <c r="A480">
        <v>41376</v>
      </c>
      <c r="B480">
        <v>1973</v>
      </c>
      <c r="C480" t="s">
        <v>26</v>
      </c>
      <c r="D480" t="s">
        <v>31</v>
      </c>
      <c r="E480" t="s">
        <v>29</v>
      </c>
      <c r="F480">
        <v>9</v>
      </c>
      <c r="G480">
        <v>14647.5</v>
      </c>
      <c r="H480">
        <v>1078.3489499999998</v>
      </c>
      <c r="K480" t="str">
        <f t="shared" si="21"/>
        <v>5%</v>
      </c>
      <c r="L480" t="str">
        <f t="shared" si="22"/>
        <v>Good</v>
      </c>
      <c r="M480" t="b">
        <f>TRUE()</f>
        <v>1</v>
      </c>
      <c r="N480" t="b">
        <f>FALSE()</f>
        <v>0</v>
      </c>
      <c r="O480" s="18" t="b">
        <f t="shared" si="23"/>
        <v>0</v>
      </c>
    </row>
    <row r="481" spans="1:15" x14ac:dyDescent="0.35">
      <c r="A481">
        <v>41377</v>
      </c>
      <c r="B481">
        <v>1609</v>
      </c>
      <c r="C481" t="s">
        <v>23</v>
      </c>
      <c r="D481" t="s">
        <v>31</v>
      </c>
      <c r="E481" t="s">
        <v>28</v>
      </c>
      <c r="F481">
        <v>6</v>
      </c>
      <c r="G481">
        <v>8820</v>
      </c>
      <c r="H481">
        <v>2244.5136000000002</v>
      </c>
      <c r="K481" t="str">
        <f t="shared" si="21"/>
        <v>2.5%</v>
      </c>
      <c r="L481" t="str">
        <f t="shared" si="22"/>
        <v>Need Improvement</v>
      </c>
      <c r="M481" t="b">
        <f>TRUE()</f>
        <v>1</v>
      </c>
      <c r="N481" t="b">
        <f>FALSE()</f>
        <v>0</v>
      </c>
      <c r="O481" s="18" t="b">
        <f t="shared" si="23"/>
        <v>0</v>
      </c>
    </row>
    <row r="482" spans="1:15" x14ac:dyDescent="0.35">
      <c r="A482">
        <v>41378</v>
      </c>
      <c r="B482">
        <v>1974</v>
      </c>
      <c r="C482" t="s">
        <v>27</v>
      </c>
      <c r="D482" t="s">
        <v>31</v>
      </c>
      <c r="E482" t="s">
        <v>25</v>
      </c>
      <c r="F482">
        <v>10</v>
      </c>
      <c r="G482">
        <v>7020</v>
      </c>
      <c r="H482">
        <v>1829.4120000000003</v>
      </c>
      <c r="K482" t="str">
        <f t="shared" si="21"/>
        <v>2.5%</v>
      </c>
      <c r="L482" t="str">
        <f t="shared" si="22"/>
        <v>Need Improvement</v>
      </c>
      <c r="M482" t="b">
        <f>TRUE()</f>
        <v>1</v>
      </c>
      <c r="N482" t="b">
        <f>FALSE()</f>
        <v>0</v>
      </c>
      <c r="O482" s="18" t="b">
        <f t="shared" si="23"/>
        <v>0</v>
      </c>
    </row>
    <row r="483" spans="1:15" x14ac:dyDescent="0.35">
      <c r="A483">
        <v>41379</v>
      </c>
      <c r="B483">
        <v>1610</v>
      </c>
      <c r="C483" t="s">
        <v>26</v>
      </c>
      <c r="D483" t="s">
        <v>31</v>
      </c>
      <c r="E483" t="s">
        <v>28</v>
      </c>
      <c r="F483">
        <v>6</v>
      </c>
      <c r="G483">
        <v>3645</v>
      </c>
      <c r="H483">
        <v>747.58950000000004</v>
      </c>
      <c r="K483" t="str">
        <f t="shared" si="21"/>
        <v>1.5%</v>
      </c>
      <c r="L483" t="str">
        <f t="shared" si="22"/>
        <v>Need Improvement</v>
      </c>
      <c r="M483" t="b">
        <f>TRUE()</f>
        <v>1</v>
      </c>
      <c r="N483" t="b">
        <f>FALSE()</f>
        <v>0</v>
      </c>
      <c r="O483" s="18" t="b">
        <f t="shared" si="23"/>
        <v>0</v>
      </c>
    </row>
    <row r="484" spans="1:15" x14ac:dyDescent="0.35">
      <c r="A484">
        <v>41380</v>
      </c>
      <c r="B484">
        <v>1975</v>
      </c>
      <c r="C484" t="s">
        <v>23</v>
      </c>
      <c r="D484" t="s">
        <v>31</v>
      </c>
      <c r="E484" t="s">
        <v>25</v>
      </c>
      <c r="F484">
        <v>9</v>
      </c>
      <c r="G484">
        <v>2439</v>
      </c>
      <c r="H484">
        <v>2932.6535999999996</v>
      </c>
      <c r="K484" t="str">
        <f t="shared" si="21"/>
        <v>1.5%</v>
      </c>
      <c r="L484" t="str">
        <f t="shared" si="22"/>
        <v>Need Improvement</v>
      </c>
      <c r="M484" t="b">
        <f>TRUE()</f>
        <v>1</v>
      </c>
      <c r="N484" t="b">
        <f>FALSE()</f>
        <v>0</v>
      </c>
      <c r="O484" s="18" t="b">
        <f t="shared" si="23"/>
        <v>0</v>
      </c>
    </row>
    <row r="485" spans="1:15" x14ac:dyDescent="0.35">
      <c r="A485">
        <v>41381</v>
      </c>
      <c r="B485">
        <v>1611</v>
      </c>
      <c r="C485" t="s">
        <v>27</v>
      </c>
      <c r="D485" t="s">
        <v>31</v>
      </c>
      <c r="E485" t="s">
        <v>29</v>
      </c>
      <c r="F485">
        <v>6</v>
      </c>
      <c r="G485">
        <v>7560</v>
      </c>
      <c r="H485">
        <v>2169.7200000000003</v>
      </c>
      <c r="K485" t="str">
        <f t="shared" si="21"/>
        <v>2.5%</v>
      </c>
      <c r="L485" t="str">
        <f t="shared" si="22"/>
        <v>Need Improvement</v>
      </c>
      <c r="M485" t="b">
        <f>TRUE()</f>
        <v>1</v>
      </c>
      <c r="N485" t="b">
        <f>FALSE()</f>
        <v>0</v>
      </c>
      <c r="O485" s="18" t="b">
        <f t="shared" si="23"/>
        <v>0</v>
      </c>
    </row>
    <row r="486" spans="1:15" x14ac:dyDescent="0.35">
      <c r="A486">
        <v>41382</v>
      </c>
      <c r="B486">
        <v>1976</v>
      </c>
      <c r="C486" t="s">
        <v>26</v>
      </c>
      <c r="D486" t="s">
        <v>31</v>
      </c>
      <c r="E486" t="s">
        <v>25</v>
      </c>
      <c r="F486">
        <v>7</v>
      </c>
      <c r="G486">
        <v>7308</v>
      </c>
      <c r="H486">
        <v>1176.2226000000001</v>
      </c>
      <c r="K486" t="str">
        <f t="shared" si="21"/>
        <v>2.5%</v>
      </c>
      <c r="L486" t="str">
        <f t="shared" si="22"/>
        <v>Need Improvement</v>
      </c>
      <c r="M486" t="b">
        <f>TRUE()</f>
        <v>1</v>
      </c>
      <c r="N486" t="b">
        <f>FALSE()</f>
        <v>0</v>
      </c>
      <c r="O486" s="18" t="b">
        <f t="shared" si="23"/>
        <v>0</v>
      </c>
    </row>
    <row r="487" spans="1:15" x14ac:dyDescent="0.35">
      <c r="A487">
        <v>41383</v>
      </c>
      <c r="B487">
        <v>1612</v>
      </c>
      <c r="C487" t="s">
        <v>23</v>
      </c>
      <c r="D487" t="s">
        <v>31</v>
      </c>
      <c r="E487" t="s">
        <v>29</v>
      </c>
      <c r="F487">
        <v>6</v>
      </c>
      <c r="G487">
        <v>1741.5</v>
      </c>
      <c r="H487">
        <v>1614.3705</v>
      </c>
      <c r="K487" t="str">
        <f t="shared" si="21"/>
        <v>1.5%</v>
      </c>
      <c r="L487" t="str">
        <f t="shared" si="22"/>
        <v>Need Improvement</v>
      </c>
      <c r="M487" t="b">
        <f>TRUE()</f>
        <v>1</v>
      </c>
      <c r="N487" t="b">
        <f>FALSE()</f>
        <v>0</v>
      </c>
      <c r="O487" s="18" t="b">
        <f t="shared" si="23"/>
        <v>0</v>
      </c>
    </row>
    <row r="488" spans="1:15" x14ac:dyDescent="0.35">
      <c r="A488">
        <v>41384</v>
      </c>
      <c r="B488">
        <v>1977</v>
      </c>
      <c r="C488" t="s">
        <v>27</v>
      </c>
      <c r="D488" t="s">
        <v>31</v>
      </c>
      <c r="E488" t="s">
        <v>28</v>
      </c>
      <c r="F488">
        <v>6</v>
      </c>
      <c r="G488">
        <v>3492</v>
      </c>
      <c r="H488">
        <v>2941.1369999999997</v>
      </c>
      <c r="K488" t="str">
        <f t="shared" si="21"/>
        <v>1.5%</v>
      </c>
      <c r="L488" t="str">
        <f t="shared" si="22"/>
        <v>Need Improvement</v>
      </c>
      <c r="M488" t="b">
        <f>TRUE()</f>
        <v>1</v>
      </c>
      <c r="N488" t="b">
        <f>FALSE()</f>
        <v>0</v>
      </c>
      <c r="O488" s="18" t="b">
        <f t="shared" si="23"/>
        <v>0</v>
      </c>
    </row>
    <row r="489" spans="1:15" x14ac:dyDescent="0.35">
      <c r="A489">
        <v>41385</v>
      </c>
      <c r="B489">
        <v>1613</v>
      </c>
      <c r="C489" t="s">
        <v>26</v>
      </c>
      <c r="D489" t="s">
        <v>31</v>
      </c>
      <c r="E489" t="s">
        <v>29</v>
      </c>
      <c r="F489">
        <v>10</v>
      </c>
      <c r="G489">
        <v>2850</v>
      </c>
      <c r="H489">
        <v>3530.2949999999996</v>
      </c>
      <c r="K489" t="str">
        <f t="shared" si="21"/>
        <v>1.5%</v>
      </c>
      <c r="L489" t="str">
        <f t="shared" si="22"/>
        <v>Need Improvement</v>
      </c>
      <c r="M489" t="b">
        <f>TRUE()</f>
        <v>1</v>
      </c>
      <c r="N489" t="b">
        <f>FALSE()</f>
        <v>0</v>
      </c>
      <c r="O489" s="18" t="b">
        <f t="shared" si="23"/>
        <v>0</v>
      </c>
    </row>
    <row r="490" spans="1:15" x14ac:dyDescent="0.35">
      <c r="A490">
        <v>41386</v>
      </c>
      <c r="B490">
        <v>1978</v>
      </c>
      <c r="C490" t="s">
        <v>23</v>
      </c>
      <c r="D490" t="s">
        <v>31</v>
      </c>
      <c r="E490" t="s">
        <v>28</v>
      </c>
      <c r="F490">
        <v>8</v>
      </c>
      <c r="G490">
        <v>2520</v>
      </c>
      <c r="H490">
        <v>3844.2599999999998</v>
      </c>
      <c r="K490" t="str">
        <f t="shared" si="21"/>
        <v>1.5%</v>
      </c>
      <c r="L490" t="str">
        <f t="shared" si="22"/>
        <v>Need Improvement</v>
      </c>
      <c r="M490" t="b">
        <f>TRUE()</f>
        <v>1</v>
      </c>
      <c r="N490" t="b">
        <f>FALSE()</f>
        <v>0</v>
      </c>
      <c r="O490" s="18" t="b">
        <f t="shared" si="23"/>
        <v>0</v>
      </c>
    </row>
    <row r="491" spans="1:15" x14ac:dyDescent="0.35">
      <c r="A491">
        <v>41387</v>
      </c>
      <c r="B491">
        <v>1614</v>
      </c>
      <c r="C491" t="s">
        <v>27</v>
      </c>
      <c r="D491" t="s">
        <v>31</v>
      </c>
      <c r="E491" t="s">
        <v>25</v>
      </c>
      <c r="F491">
        <v>8</v>
      </c>
      <c r="G491">
        <v>3408</v>
      </c>
      <c r="H491">
        <v>1704.3407999999997</v>
      </c>
      <c r="K491" t="str">
        <f t="shared" si="21"/>
        <v>1.5%</v>
      </c>
      <c r="L491" t="str">
        <f t="shared" si="22"/>
        <v>Need Improvement</v>
      </c>
      <c r="M491" t="b">
        <f>TRUE()</f>
        <v>1</v>
      </c>
      <c r="N491" t="b">
        <f>FALSE()</f>
        <v>0</v>
      </c>
      <c r="O491" s="18" t="b">
        <f t="shared" si="23"/>
        <v>0</v>
      </c>
    </row>
    <row r="492" spans="1:15" x14ac:dyDescent="0.35">
      <c r="A492">
        <v>41388</v>
      </c>
      <c r="B492">
        <v>1979</v>
      </c>
      <c r="C492" t="s">
        <v>26</v>
      </c>
      <c r="D492" t="s">
        <v>31</v>
      </c>
      <c r="E492" t="s">
        <v>28</v>
      </c>
      <c r="F492">
        <v>7</v>
      </c>
      <c r="G492">
        <v>7812</v>
      </c>
      <c r="H492">
        <v>2902.9391999999998</v>
      </c>
      <c r="K492" t="str">
        <f t="shared" si="21"/>
        <v>2.5%</v>
      </c>
      <c r="L492" t="str">
        <f t="shared" si="22"/>
        <v>Need Improvement</v>
      </c>
      <c r="M492" t="b">
        <f>TRUE()</f>
        <v>1</v>
      </c>
      <c r="N492" t="b">
        <f>FALSE()</f>
        <v>0</v>
      </c>
      <c r="O492" s="18" t="b">
        <f t="shared" si="23"/>
        <v>0</v>
      </c>
    </row>
    <row r="493" spans="1:15" x14ac:dyDescent="0.35">
      <c r="A493">
        <v>41389</v>
      </c>
      <c r="B493">
        <v>1615</v>
      </c>
      <c r="C493" t="s">
        <v>23</v>
      </c>
      <c r="D493" t="s">
        <v>31</v>
      </c>
      <c r="E493" t="s">
        <v>25</v>
      </c>
      <c r="F493">
        <v>10</v>
      </c>
      <c r="G493">
        <v>9600</v>
      </c>
      <c r="H493">
        <v>1070.1600000000001</v>
      </c>
      <c r="K493" t="str">
        <f t="shared" si="21"/>
        <v>2.5%</v>
      </c>
      <c r="L493" t="str">
        <f t="shared" si="22"/>
        <v>Need Improvement</v>
      </c>
      <c r="M493" t="b">
        <f>TRUE()</f>
        <v>1</v>
      </c>
      <c r="N493" t="b">
        <f>FALSE()</f>
        <v>0</v>
      </c>
      <c r="O493" s="18" t="b">
        <f t="shared" si="23"/>
        <v>0</v>
      </c>
    </row>
    <row r="494" spans="1:15" x14ac:dyDescent="0.35">
      <c r="A494">
        <v>41390</v>
      </c>
      <c r="B494">
        <v>1980</v>
      </c>
      <c r="C494" t="s">
        <v>27</v>
      </c>
      <c r="D494" t="s">
        <v>31</v>
      </c>
      <c r="E494" t="s">
        <v>29</v>
      </c>
      <c r="F494">
        <v>6</v>
      </c>
      <c r="G494">
        <v>4950</v>
      </c>
      <c r="H494">
        <v>4145.13</v>
      </c>
      <c r="K494" t="str">
        <f t="shared" si="21"/>
        <v>1.5%</v>
      </c>
      <c r="L494" t="str">
        <f t="shared" si="22"/>
        <v>Need Improvement</v>
      </c>
      <c r="M494" t="b">
        <f>TRUE()</f>
        <v>1</v>
      </c>
      <c r="N494" t="b">
        <f>FALSE()</f>
        <v>0</v>
      </c>
      <c r="O494" s="18" t="b">
        <f t="shared" si="23"/>
        <v>0</v>
      </c>
    </row>
    <row r="495" spans="1:15" x14ac:dyDescent="0.35">
      <c r="A495">
        <v>41391</v>
      </c>
      <c r="B495">
        <v>1616</v>
      </c>
      <c r="C495" t="s">
        <v>26</v>
      </c>
      <c r="D495" t="s">
        <v>31</v>
      </c>
      <c r="E495" t="s">
        <v>25</v>
      </c>
      <c r="F495">
        <v>9</v>
      </c>
      <c r="G495">
        <v>6075</v>
      </c>
      <c r="H495">
        <v>850.09500000000003</v>
      </c>
      <c r="K495" t="str">
        <f t="shared" si="21"/>
        <v>2.5%</v>
      </c>
      <c r="L495" t="str">
        <f t="shared" si="22"/>
        <v>Need Improvement</v>
      </c>
      <c r="M495" t="b">
        <f>TRUE()</f>
        <v>1</v>
      </c>
      <c r="N495" t="b">
        <f>FALSE()</f>
        <v>0</v>
      </c>
      <c r="O495" s="18" t="b">
        <f t="shared" si="23"/>
        <v>0</v>
      </c>
    </row>
    <row r="496" spans="1:15" x14ac:dyDescent="0.35">
      <c r="A496">
        <v>41392</v>
      </c>
      <c r="B496">
        <v>1981</v>
      </c>
      <c r="C496" t="s">
        <v>23</v>
      </c>
      <c r="D496" t="s">
        <v>31</v>
      </c>
      <c r="E496" t="s">
        <v>29</v>
      </c>
      <c r="F496">
        <v>10</v>
      </c>
      <c r="G496">
        <v>11880</v>
      </c>
      <c r="H496">
        <v>3659.04</v>
      </c>
      <c r="K496" t="str">
        <f t="shared" si="21"/>
        <v>5%</v>
      </c>
      <c r="L496" t="str">
        <f t="shared" si="22"/>
        <v>Good</v>
      </c>
      <c r="M496" t="b">
        <f>TRUE()</f>
        <v>1</v>
      </c>
      <c r="N496" t="b">
        <f>FALSE()</f>
        <v>0</v>
      </c>
      <c r="O496" s="18" t="b">
        <f t="shared" si="23"/>
        <v>0</v>
      </c>
    </row>
    <row r="497" spans="1:15" x14ac:dyDescent="0.35">
      <c r="A497">
        <v>41393</v>
      </c>
      <c r="B497">
        <v>1617</v>
      </c>
      <c r="C497" t="s">
        <v>27</v>
      </c>
      <c r="D497" t="s">
        <v>31</v>
      </c>
      <c r="E497" t="s">
        <v>28</v>
      </c>
      <c r="F497">
        <v>8</v>
      </c>
      <c r="G497">
        <v>2964</v>
      </c>
      <c r="H497">
        <v>889.49639999999988</v>
      </c>
      <c r="K497" t="str">
        <f t="shared" si="21"/>
        <v>1.5%</v>
      </c>
      <c r="L497" t="str">
        <f t="shared" si="22"/>
        <v>Need Improvement</v>
      </c>
      <c r="M497" t="b">
        <f>TRUE()</f>
        <v>1</v>
      </c>
      <c r="N497" t="b">
        <f>FALSE()</f>
        <v>0</v>
      </c>
      <c r="O497" s="18" t="b">
        <f t="shared" si="23"/>
        <v>0</v>
      </c>
    </row>
    <row r="498" spans="1:15" x14ac:dyDescent="0.35">
      <c r="A498">
        <v>41394</v>
      </c>
      <c r="B498">
        <v>1982</v>
      </c>
      <c r="C498" t="s">
        <v>26</v>
      </c>
      <c r="D498" t="s">
        <v>31</v>
      </c>
      <c r="E498" t="s">
        <v>29</v>
      </c>
      <c r="F498">
        <v>10</v>
      </c>
      <c r="G498">
        <v>13275</v>
      </c>
      <c r="H498">
        <v>1865.9339999999997</v>
      </c>
      <c r="K498" t="str">
        <f t="shared" si="21"/>
        <v>5%</v>
      </c>
      <c r="L498" t="str">
        <f t="shared" si="22"/>
        <v>Good</v>
      </c>
      <c r="M498" t="b">
        <f>TRUE()</f>
        <v>1</v>
      </c>
      <c r="N498" t="b">
        <f>FALSE()</f>
        <v>0</v>
      </c>
      <c r="O498" s="18" t="b">
        <f t="shared" si="23"/>
        <v>0</v>
      </c>
    </row>
    <row r="499" spans="1:15" x14ac:dyDescent="0.35">
      <c r="A499">
        <v>41395</v>
      </c>
      <c r="B499">
        <v>1618</v>
      </c>
      <c r="C499" t="s">
        <v>23</v>
      </c>
      <c r="D499" t="s">
        <v>31</v>
      </c>
      <c r="E499" t="s">
        <v>28</v>
      </c>
      <c r="F499">
        <v>10</v>
      </c>
      <c r="G499">
        <v>11760</v>
      </c>
      <c r="H499">
        <v>3227.2380000000003</v>
      </c>
      <c r="K499" t="str">
        <f t="shared" si="21"/>
        <v>5%</v>
      </c>
      <c r="L499" t="str">
        <f t="shared" si="22"/>
        <v>Good</v>
      </c>
      <c r="M499" t="b">
        <f>TRUE()</f>
        <v>1</v>
      </c>
      <c r="N499" t="b">
        <f>FALSE()</f>
        <v>0</v>
      </c>
      <c r="O499" s="18" t="b">
        <f t="shared" si="23"/>
        <v>0</v>
      </c>
    </row>
    <row r="500" spans="1:15" x14ac:dyDescent="0.35">
      <c r="A500">
        <v>41396</v>
      </c>
      <c r="B500">
        <v>1619</v>
      </c>
      <c r="C500" t="s">
        <v>26</v>
      </c>
      <c r="D500" t="s">
        <v>31</v>
      </c>
      <c r="E500" t="s">
        <v>28</v>
      </c>
      <c r="F500">
        <v>8</v>
      </c>
      <c r="G500">
        <v>9216</v>
      </c>
      <c r="H500">
        <v>806.39999999999986</v>
      </c>
      <c r="K500" t="str">
        <f t="shared" si="21"/>
        <v>2.5%</v>
      </c>
      <c r="L500" t="str">
        <f t="shared" si="22"/>
        <v>Need Improvement</v>
      </c>
      <c r="M500" t="b">
        <f>TRUE()</f>
        <v>1</v>
      </c>
      <c r="N500" t="b">
        <f>FALSE()</f>
        <v>0</v>
      </c>
      <c r="O500" s="18" t="b">
        <f t="shared" si="23"/>
        <v>0</v>
      </c>
    </row>
    <row r="501" spans="1:15" x14ac:dyDescent="0.35">
      <c r="A501">
        <v>41397</v>
      </c>
      <c r="B501">
        <v>1620</v>
      </c>
      <c r="C501" t="s">
        <v>27</v>
      </c>
      <c r="D501" t="s">
        <v>31</v>
      </c>
      <c r="E501" t="s">
        <v>29</v>
      </c>
      <c r="F501">
        <v>6</v>
      </c>
      <c r="G501">
        <v>3888</v>
      </c>
      <c r="H501">
        <v>1395.0144</v>
      </c>
      <c r="K501" t="str">
        <f t="shared" si="21"/>
        <v>1.5%</v>
      </c>
      <c r="L501" t="str">
        <f t="shared" si="22"/>
        <v>Need Improvement</v>
      </c>
      <c r="M501" t="b">
        <f>TRUE()</f>
        <v>1</v>
      </c>
      <c r="N501" t="b">
        <f>FALSE()</f>
        <v>0</v>
      </c>
      <c r="O501" s="18" t="b">
        <f t="shared" si="23"/>
        <v>0</v>
      </c>
    </row>
    <row r="502" spans="1:15" x14ac:dyDescent="0.35">
      <c r="A502">
        <v>41398</v>
      </c>
      <c r="B502">
        <v>1621</v>
      </c>
      <c r="C502" t="s">
        <v>23</v>
      </c>
      <c r="D502" t="s">
        <v>31</v>
      </c>
      <c r="E502" t="s">
        <v>29</v>
      </c>
      <c r="F502">
        <v>10</v>
      </c>
      <c r="G502">
        <v>5000</v>
      </c>
      <c r="H502">
        <v>4843.75</v>
      </c>
      <c r="K502" t="str">
        <f t="shared" si="21"/>
        <v>2.5%</v>
      </c>
      <c r="L502" t="str">
        <f t="shared" si="22"/>
        <v>Need Improvement</v>
      </c>
      <c r="M502" t="b">
        <f>TRUE()</f>
        <v>1</v>
      </c>
      <c r="N502" t="b">
        <f>FALSE()</f>
        <v>0</v>
      </c>
      <c r="O502" s="18" t="b">
        <f t="shared" si="23"/>
        <v>0</v>
      </c>
    </row>
    <row r="503" spans="1:15" x14ac:dyDescent="0.35">
      <c r="A503">
        <v>41399</v>
      </c>
      <c r="B503">
        <v>1622</v>
      </c>
      <c r="C503" t="s">
        <v>26</v>
      </c>
      <c r="D503" t="s">
        <v>31</v>
      </c>
      <c r="E503" t="s">
        <v>29</v>
      </c>
      <c r="F503">
        <v>6</v>
      </c>
      <c r="G503">
        <v>7128</v>
      </c>
      <c r="H503">
        <v>783.54539999999986</v>
      </c>
      <c r="K503" t="str">
        <f t="shared" si="21"/>
        <v>2.5%</v>
      </c>
      <c r="L503" t="str">
        <f t="shared" si="22"/>
        <v>Need Improvement</v>
      </c>
      <c r="M503" t="b">
        <f>TRUE()</f>
        <v>1</v>
      </c>
      <c r="N503" t="b">
        <f>FALSE()</f>
        <v>0</v>
      </c>
      <c r="O503" s="18" t="b">
        <f t="shared" si="23"/>
        <v>0</v>
      </c>
    </row>
    <row r="504" spans="1:15" x14ac:dyDescent="0.35">
      <c r="A504">
        <v>41400</v>
      </c>
      <c r="B504">
        <v>1992</v>
      </c>
      <c r="C504" t="s">
        <v>27</v>
      </c>
      <c r="D504" t="s">
        <v>31</v>
      </c>
      <c r="E504" t="s">
        <v>25</v>
      </c>
      <c r="F504">
        <v>6</v>
      </c>
      <c r="G504">
        <v>3726</v>
      </c>
      <c r="H504">
        <v>745.01369999999997</v>
      </c>
      <c r="K504" t="str">
        <f t="shared" si="21"/>
        <v>1.5%</v>
      </c>
      <c r="L504" t="str">
        <f t="shared" si="22"/>
        <v>Need Improvement</v>
      </c>
      <c r="M504" t="b">
        <f>TRUE()</f>
        <v>1</v>
      </c>
      <c r="N504" t="b">
        <f>FALSE()</f>
        <v>0</v>
      </c>
      <c r="O504" s="18" t="b">
        <f t="shared" si="23"/>
        <v>0</v>
      </c>
    </row>
    <row r="505" spans="1:15" x14ac:dyDescent="0.35">
      <c r="A505">
        <v>41401</v>
      </c>
      <c r="B505">
        <v>1993</v>
      </c>
      <c r="C505" t="s">
        <v>23</v>
      </c>
      <c r="D505" t="s">
        <v>31</v>
      </c>
      <c r="E505" t="s">
        <v>25</v>
      </c>
      <c r="F505">
        <v>8</v>
      </c>
      <c r="G505">
        <v>6144</v>
      </c>
      <c r="H505">
        <v>1320.6528000000001</v>
      </c>
      <c r="K505" t="str">
        <f t="shared" si="21"/>
        <v>2.5%</v>
      </c>
      <c r="L505" t="str">
        <f t="shared" si="22"/>
        <v>Need Improvement</v>
      </c>
      <c r="M505" t="b">
        <f>TRUE()</f>
        <v>1</v>
      </c>
      <c r="N505" t="b">
        <f>FALSE()</f>
        <v>0</v>
      </c>
      <c r="O505" s="18" t="b">
        <f t="shared" si="23"/>
        <v>0</v>
      </c>
    </row>
    <row r="506" spans="1:15" x14ac:dyDescent="0.35">
      <c r="A506">
        <v>41767</v>
      </c>
      <c r="B506">
        <v>1994</v>
      </c>
      <c r="C506" t="s">
        <v>26</v>
      </c>
      <c r="D506" t="s">
        <v>31</v>
      </c>
      <c r="E506" t="s">
        <v>25</v>
      </c>
      <c r="F506">
        <v>8</v>
      </c>
      <c r="G506">
        <v>2232</v>
      </c>
      <c r="H506">
        <v>869.14080000000001</v>
      </c>
      <c r="K506" t="str">
        <f t="shared" si="21"/>
        <v>1.5%</v>
      </c>
      <c r="L506" t="str">
        <f t="shared" si="22"/>
        <v>Need Improvement</v>
      </c>
      <c r="M506" t="b">
        <f>TRUE()</f>
        <v>1</v>
      </c>
      <c r="N506" t="b">
        <f>FALSE()</f>
        <v>0</v>
      </c>
      <c r="O506" s="18" t="b">
        <f t="shared" si="23"/>
        <v>0</v>
      </c>
    </row>
    <row r="507" spans="1:15" x14ac:dyDescent="0.35">
      <c r="A507">
        <v>41768</v>
      </c>
      <c r="B507">
        <v>1995</v>
      </c>
      <c r="C507" t="s">
        <v>27</v>
      </c>
      <c r="D507" t="s">
        <v>31</v>
      </c>
      <c r="E507" t="s">
        <v>28</v>
      </c>
      <c r="F507">
        <v>8</v>
      </c>
      <c r="G507">
        <v>7860</v>
      </c>
      <c r="H507">
        <v>1054.1831999999999</v>
      </c>
      <c r="K507" t="str">
        <f t="shared" si="21"/>
        <v>2.5%</v>
      </c>
      <c r="L507" t="str">
        <f t="shared" si="22"/>
        <v>Need Improvement</v>
      </c>
      <c r="M507" t="b">
        <f>TRUE()</f>
        <v>1</v>
      </c>
      <c r="N507" t="b">
        <f>FALSE()</f>
        <v>0</v>
      </c>
      <c r="O507" s="18" t="b">
        <f t="shared" si="23"/>
        <v>0</v>
      </c>
    </row>
    <row r="508" spans="1:15" x14ac:dyDescent="0.35">
      <c r="A508">
        <v>41769</v>
      </c>
      <c r="B508">
        <v>1996</v>
      </c>
      <c r="C508" t="s">
        <v>23</v>
      </c>
      <c r="D508" t="s">
        <v>31</v>
      </c>
      <c r="E508" t="s">
        <v>28</v>
      </c>
      <c r="F508">
        <v>10</v>
      </c>
      <c r="G508">
        <v>3330</v>
      </c>
      <c r="H508">
        <v>1313.3519999999999</v>
      </c>
      <c r="K508" t="str">
        <f t="shared" si="21"/>
        <v>1.5%</v>
      </c>
      <c r="L508" t="str">
        <f t="shared" si="22"/>
        <v>Need Improvement</v>
      </c>
      <c r="M508" t="b">
        <f>TRUE()</f>
        <v>1</v>
      </c>
      <c r="N508" t="b">
        <f>FALSE()</f>
        <v>0</v>
      </c>
      <c r="O508" s="18" t="b">
        <f t="shared" si="23"/>
        <v>0</v>
      </c>
    </row>
    <row r="509" spans="1:15" x14ac:dyDescent="0.35">
      <c r="A509">
        <v>41770</v>
      </c>
      <c r="B509">
        <v>1632</v>
      </c>
      <c r="C509" t="s">
        <v>27</v>
      </c>
      <c r="D509" t="s">
        <v>31</v>
      </c>
      <c r="E509" t="s">
        <v>25</v>
      </c>
      <c r="F509">
        <v>6</v>
      </c>
      <c r="G509">
        <v>4725</v>
      </c>
      <c r="H509">
        <v>651.73500000000001</v>
      </c>
      <c r="K509" t="str">
        <f t="shared" si="21"/>
        <v>1.5%</v>
      </c>
      <c r="L509" t="str">
        <f t="shared" si="22"/>
        <v>Need Improvement</v>
      </c>
      <c r="M509" t="b">
        <f>TRUE()</f>
        <v>1</v>
      </c>
      <c r="N509" t="b">
        <f>FALSE()</f>
        <v>0</v>
      </c>
      <c r="O509" s="18" t="b">
        <f t="shared" si="23"/>
        <v>0</v>
      </c>
    </row>
    <row r="510" spans="1:15" x14ac:dyDescent="0.35">
      <c r="A510">
        <v>41771</v>
      </c>
      <c r="B510">
        <v>1997</v>
      </c>
      <c r="C510" t="s">
        <v>26</v>
      </c>
      <c r="D510" t="s">
        <v>31</v>
      </c>
      <c r="E510" t="s">
        <v>28</v>
      </c>
      <c r="F510">
        <v>8</v>
      </c>
      <c r="G510">
        <v>3408</v>
      </c>
      <c r="H510">
        <v>2123.8656000000001</v>
      </c>
      <c r="K510" t="str">
        <f t="shared" si="21"/>
        <v>1.5%</v>
      </c>
      <c r="L510" t="str">
        <f t="shared" si="22"/>
        <v>Need Improvement</v>
      </c>
      <c r="M510" t="b">
        <f>TRUE()</f>
        <v>1</v>
      </c>
      <c r="N510" t="b">
        <f>FALSE()</f>
        <v>0</v>
      </c>
      <c r="O510" s="18" t="b">
        <f t="shared" si="23"/>
        <v>0</v>
      </c>
    </row>
    <row r="511" spans="1:15" x14ac:dyDescent="0.35">
      <c r="A511">
        <v>41772</v>
      </c>
      <c r="B511">
        <v>1633</v>
      </c>
      <c r="C511" t="s">
        <v>23</v>
      </c>
      <c r="D511" t="s">
        <v>31</v>
      </c>
      <c r="E511" t="s">
        <v>25</v>
      </c>
      <c r="F511">
        <v>10</v>
      </c>
      <c r="G511">
        <v>11560</v>
      </c>
      <c r="H511">
        <v>4369.68</v>
      </c>
      <c r="K511" t="str">
        <f t="shared" si="21"/>
        <v>5%</v>
      </c>
      <c r="L511" t="str">
        <f t="shared" si="22"/>
        <v>Good</v>
      </c>
      <c r="M511" t="b">
        <f>TRUE()</f>
        <v>1</v>
      </c>
      <c r="N511" t="b">
        <f>FALSE()</f>
        <v>0</v>
      </c>
      <c r="O511" s="18" t="b">
        <f t="shared" si="23"/>
        <v>0</v>
      </c>
    </row>
    <row r="512" spans="1:15" x14ac:dyDescent="0.35">
      <c r="A512">
        <v>41773</v>
      </c>
      <c r="B512">
        <v>1998</v>
      </c>
      <c r="C512" t="s">
        <v>27</v>
      </c>
      <c r="D512" t="s">
        <v>31</v>
      </c>
      <c r="E512" t="s">
        <v>29</v>
      </c>
      <c r="F512">
        <v>10</v>
      </c>
      <c r="G512">
        <v>7320</v>
      </c>
      <c r="H512">
        <v>798.61199999999997</v>
      </c>
      <c r="K512" t="str">
        <f t="shared" si="21"/>
        <v>2.5%</v>
      </c>
      <c r="L512" t="str">
        <f t="shared" si="22"/>
        <v>Need Improvement</v>
      </c>
      <c r="M512" t="b">
        <f>TRUE()</f>
        <v>1</v>
      </c>
      <c r="N512" t="b">
        <f>FALSE()</f>
        <v>0</v>
      </c>
      <c r="O512" s="18" t="b">
        <f t="shared" si="23"/>
        <v>0</v>
      </c>
    </row>
    <row r="513" spans="1:15" x14ac:dyDescent="0.35">
      <c r="A513">
        <v>41774</v>
      </c>
      <c r="B513">
        <v>1634</v>
      </c>
      <c r="C513" t="s">
        <v>26</v>
      </c>
      <c r="D513" t="s">
        <v>31</v>
      </c>
      <c r="E513" t="s">
        <v>25</v>
      </c>
      <c r="F513">
        <v>10</v>
      </c>
      <c r="G513">
        <v>5130</v>
      </c>
      <c r="H513">
        <v>1311.57</v>
      </c>
      <c r="K513" t="str">
        <f t="shared" si="21"/>
        <v>2.5%</v>
      </c>
      <c r="L513" t="str">
        <f t="shared" si="22"/>
        <v>Need Improvement</v>
      </c>
      <c r="M513" t="b">
        <f>TRUE()</f>
        <v>1</v>
      </c>
      <c r="N513" t="b">
        <f>FALSE()</f>
        <v>0</v>
      </c>
      <c r="O513" s="18" t="b">
        <f t="shared" si="23"/>
        <v>0</v>
      </c>
    </row>
    <row r="514" spans="1:15" x14ac:dyDescent="0.35">
      <c r="A514">
        <v>41775</v>
      </c>
      <c r="B514">
        <v>1999</v>
      </c>
      <c r="C514" t="s">
        <v>23</v>
      </c>
      <c r="D514" t="s">
        <v>31</v>
      </c>
      <c r="E514" t="s">
        <v>29</v>
      </c>
      <c r="F514">
        <v>8</v>
      </c>
      <c r="G514">
        <v>8864</v>
      </c>
      <c r="H514">
        <v>723.30240000000003</v>
      </c>
      <c r="K514" t="str">
        <f t="shared" si="21"/>
        <v>2.5%</v>
      </c>
      <c r="L514" t="str">
        <f t="shared" si="22"/>
        <v>Need Improvement</v>
      </c>
      <c r="M514" t="b">
        <f>TRUE()</f>
        <v>1</v>
      </c>
      <c r="N514" t="b">
        <f>FALSE()</f>
        <v>0</v>
      </c>
      <c r="O514" s="18" t="b">
        <f t="shared" si="23"/>
        <v>0</v>
      </c>
    </row>
    <row r="515" spans="1:15" x14ac:dyDescent="0.35">
      <c r="A515">
        <v>41776</v>
      </c>
      <c r="B515">
        <v>1635</v>
      </c>
      <c r="C515" t="s">
        <v>27</v>
      </c>
      <c r="D515" t="s">
        <v>31</v>
      </c>
      <c r="E515" t="s">
        <v>28</v>
      </c>
      <c r="F515">
        <v>8</v>
      </c>
      <c r="G515">
        <v>2064</v>
      </c>
      <c r="H515">
        <v>817.55039999999997</v>
      </c>
      <c r="K515" t="str">
        <f t="shared" ref="K515:K578" si="24">IF(G515&gt;10000,"5%",IF(AND(G515&gt;=5000,G515&lt;10000),"2.5%","1.5%"))</f>
        <v>1.5%</v>
      </c>
      <c r="L515" t="str">
        <f t="shared" ref="L515:L578" si="25">IF(OR(G515&gt;10000,H515&gt;=5000),"Good","Need Improvement")</f>
        <v>Need Improvement</v>
      </c>
      <c r="M515" t="b">
        <f>TRUE()</f>
        <v>1</v>
      </c>
      <c r="N515" t="b">
        <f>FALSE()</f>
        <v>0</v>
      </c>
      <c r="O515" s="18" t="b">
        <f t="shared" ref="O515:O578" si="26">NOT(M515)</f>
        <v>0</v>
      </c>
    </row>
    <row r="516" spans="1:15" x14ac:dyDescent="0.35">
      <c r="A516">
        <v>41777</v>
      </c>
      <c r="B516">
        <v>2000</v>
      </c>
      <c r="C516" t="s">
        <v>26</v>
      </c>
      <c r="D516" t="s">
        <v>31</v>
      </c>
      <c r="E516" t="s">
        <v>29</v>
      </c>
      <c r="F516">
        <v>7</v>
      </c>
      <c r="G516">
        <v>2226</v>
      </c>
      <c r="H516">
        <v>2221.7705999999998</v>
      </c>
      <c r="K516" t="str">
        <f t="shared" si="24"/>
        <v>1.5%</v>
      </c>
      <c r="L516" t="str">
        <f t="shared" si="25"/>
        <v>Need Improvement</v>
      </c>
      <c r="M516" t="b">
        <f>TRUE()</f>
        <v>1</v>
      </c>
      <c r="N516" t="b">
        <f>FALSE()</f>
        <v>0</v>
      </c>
      <c r="O516" s="18" t="b">
        <f t="shared" si="26"/>
        <v>0</v>
      </c>
    </row>
    <row r="517" spans="1:15" x14ac:dyDescent="0.35">
      <c r="A517">
        <v>41778</v>
      </c>
      <c r="B517">
        <v>1636</v>
      </c>
      <c r="C517" t="s">
        <v>23</v>
      </c>
      <c r="D517" t="s">
        <v>31</v>
      </c>
      <c r="E517" t="s">
        <v>28</v>
      </c>
      <c r="F517">
        <v>6</v>
      </c>
      <c r="G517">
        <v>5319</v>
      </c>
      <c r="H517">
        <v>586.33109999999999</v>
      </c>
      <c r="K517" t="str">
        <f t="shared" si="24"/>
        <v>2.5%</v>
      </c>
      <c r="L517" t="str">
        <f t="shared" si="25"/>
        <v>Need Improvement</v>
      </c>
      <c r="M517" t="b">
        <f>TRUE()</f>
        <v>1</v>
      </c>
      <c r="N517" t="b">
        <f>FALSE()</f>
        <v>0</v>
      </c>
      <c r="O517" s="18" t="b">
        <f t="shared" si="26"/>
        <v>0</v>
      </c>
    </row>
    <row r="518" spans="1:15" x14ac:dyDescent="0.35">
      <c r="A518">
        <v>41779</v>
      </c>
      <c r="B518">
        <v>2001</v>
      </c>
      <c r="C518" t="s">
        <v>27</v>
      </c>
      <c r="D518" t="s">
        <v>31</v>
      </c>
      <c r="E518" t="s">
        <v>25</v>
      </c>
      <c r="F518">
        <v>6</v>
      </c>
      <c r="G518">
        <v>3096</v>
      </c>
      <c r="H518">
        <v>655.42319999999995</v>
      </c>
      <c r="K518" t="str">
        <f t="shared" si="24"/>
        <v>1.5%</v>
      </c>
      <c r="L518" t="str">
        <f t="shared" si="25"/>
        <v>Need Improvement</v>
      </c>
      <c r="M518" t="b">
        <f>TRUE()</f>
        <v>1</v>
      </c>
      <c r="N518" t="b">
        <f>FALSE()</f>
        <v>0</v>
      </c>
      <c r="O518" s="18" t="b">
        <f t="shared" si="26"/>
        <v>0</v>
      </c>
    </row>
    <row r="519" spans="1:15" x14ac:dyDescent="0.35">
      <c r="A519">
        <v>41780</v>
      </c>
      <c r="B519">
        <v>1637</v>
      </c>
      <c r="C519" t="s">
        <v>26</v>
      </c>
      <c r="D519" t="s">
        <v>31</v>
      </c>
      <c r="E519" t="s">
        <v>28</v>
      </c>
      <c r="F519">
        <v>7</v>
      </c>
      <c r="G519">
        <v>5481</v>
      </c>
      <c r="H519">
        <v>2782.5209999999997</v>
      </c>
      <c r="K519" t="str">
        <f t="shared" si="24"/>
        <v>2.5%</v>
      </c>
      <c r="L519" t="str">
        <f t="shared" si="25"/>
        <v>Need Improvement</v>
      </c>
      <c r="M519" t="b">
        <f>TRUE()</f>
        <v>1</v>
      </c>
      <c r="N519" t="b">
        <f>FALSE()</f>
        <v>0</v>
      </c>
      <c r="O519" s="18" t="b">
        <f t="shared" si="26"/>
        <v>0</v>
      </c>
    </row>
    <row r="520" spans="1:15" x14ac:dyDescent="0.35">
      <c r="A520">
        <v>41781</v>
      </c>
      <c r="B520">
        <v>2002</v>
      </c>
      <c r="C520" t="s">
        <v>23</v>
      </c>
      <c r="D520" t="s">
        <v>31</v>
      </c>
      <c r="E520" t="s">
        <v>25</v>
      </c>
      <c r="F520">
        <v>7</v>
      </c>
      <c r="G520">
        <v>5460</v>
      </c>
      <c r="H520">
        <v>894.62099999999998</v>
      </c>
      <c r="K520" t="str">
        <f t="shared" si="24"/>
        <v>2.5%</v>
      </c>
      <c r="L520" t="str">
        <f t="shared" si="25"/>
        <v>Need Improvement</v>
      </c>
      <c r="M520" t="b">
        <f>TRUE()</f>
        <v>1</v>
      </c>
      <c r="N520" t="b">
        <f>FALSE()</f>
        <v>0</v>
      </c>
      <c r="O520" s="18" t="b">
        <f t="shared" si="26"/>
        <v>0</v>
      </c>
    </row>
    <row r="521" spans="1:15" x14ac:dyDescent="0.35">
      <c r="A521">
        <v>41782</v>
      </c>
      <c r="B521">
        <v>1638</v>
      </c>
      <c r="C521" t="s">
        <v>27</v>
      </c>
      <c r="D521" t="s">
        <v>31</v>
      </c>
      <c r="E521" t="s">
        <v>29</v>
      </c>
      <c r="F521">
        <v>9</v>
      </c>
      <c r="G521">
        <v>4657.5</v>
      </c>
      <c r="H521">
        <v>2321.9190000000003</v>
      </c>
      <c r="K521" t="str">
        <f t="shared" si="24"/>
        <v>1.5%</v>
      </c>
      <c r="L521" t="str">
        <f t="shared" si="25"/>
        <v>Need Improvement</v>
      </c>
      <c r="M521" t="b">
        <f>TRUE()</f>
        <v>1</v>
      </c>
      <c r="N521" t="b">
        <f>FALSE()</f>
        <v>0</v>
      </c>
      <c r="O521" s="18" t="b">
        <f t="shared" si="26"/>
        <v>0</v>
      </c>
    </row>
    <row r="522" spans="1:15" x14ac:dyDescent="0.35">
      <c r="A522">
        <v>41783</v>
      </c>
      <c r="B522">
        <v>2003</v>
      </c>
      <c r="C522" t="s">
        <v>26</v>
      </c>
      <c r="D522" t="s">
        <v>31</v>
      </c>
      <c r="E522" t="s">
        <v>25</v>
      </c>
      <c r="F522">
        <v>6</v>
      </c>
      <c r="G522">
        <v>7020</v>
      </c>
      <c r="H522">
        <v>3597.0479999999998</v>
      </c>
      <c r="K522" t="str">
        <f t="shared" si="24"/>
        <v>2.5%</v>
      </c>
      <c r="L522" t="str">
        <f t="shared" si="25"/>
        <v>Need Improvement</v>
      </c>
      <c r="M522" t="b">
        <f>TRUE()</f>
        <v>1</v>
      </c>
      <c r="N522" t="b">
        <f>FALSE()</f>
        <v>0</v>
      </c>
      <c r="O522" s="18" t="b">
        <f t="shared" si="26"/>
        <v>0</v>
      </c>
    </row>
    <row r="523" spans="1:15" x14ac:dyDescent="0.35">
      <c r="A523">
        <v>41784</v>
      </c>
      <c r="B523">
        <v>1639</v>
      </c>
      <c r="C523" t="s">
        <v>23</v>
      </c>
      <c r="D523" t="s">
        <v>31</v>
      </c>
      <c r="E523" t="s">
        <v>29</v>
      </c>
      <c r="F523">
        <v>7</v>
      </c>
      <c r="G523">
        <v>2635.5</v>
      </c>
      <c r="H523">
        <v>3538.1587500000001</v>
      </c>
      <c r="K523" t="str">
        <f t="shared" si="24"/>
        <v>1.5%</v>
      </c>
      <c r="L523" t="str">
        <f t="shared" si="25"/>
        <v>Need Improvement</v>
      </c>
      <c r="M523" t="b">
        <f>TRUE()</f>
        <v>1</v>
      </c>
      <c r="N523" t="b">
        <f>FALSE()</f>
        <v>0</v>
      </c>
      <c r="O523" s="18" t="b">
        <f t="shared" si="26"/>
        <v>0</v>
      </c>
    </row>
    <row r="524" spans="1:15" x14ac:dyDescent="0.35">
      <c r="A524">
        <v>41785</v>
      </c>
      <c r="B524">
        <v>2004</v>
      </c>
      <c r="C524" t="s">
        <v>27</v>
      </c>
      <c r="D524" t="s">
        <v>31</v>
      </c>
      <c r="E524" t="s">
        <v>28</v>
      </c>
      <c r="F524">
        <v>8</v>
      </c>
      <c r="G524">
        <v>4080</v>
      </c>
      <c r="H524">
        <v>2063.0519999999997</v>
      </c>
      <c r="K524" t="str">
        <f t="shared" si="24"/>
        <v>1.5%</v>
      </c>
      <c r="L524" t="str">
        <f t="shared" si="25"/>
        <v>Need Improvement</v>
      </c>
      <c r="M524" t="b">
        <f>TRUE()</f>
        <v>1</v>
      </c>
      <c r="N524" t="b">
        <f>FALSE()</f>
        <v>0</v>
      </c>
      <c r="O524" s="18" t="b">
        <f t="shared" si="26"/>
        <v>0</v>
      </c>
    </row>
    <row r="525" spans="1:15" x14ac:dyDescent="0.35">
      <c r="A525">
        <v>41786</v>
      </c>
      <c r="B525">
        <v>1640</v>
      </c>
      <c r="C525" t="s">
        <v>26</v>
      </c>
      <c r="D525" t="s">
        <v>31</v>
      </c>
      <c r="E525" t="s">
        <v>29</v>
      </c>
      <c r="F525">
        <v>9</v>
      </c>
      <c r="G525">
        <v>4900.5</v>
      </c>
      <c r="H525">
        <v>992.51460000000009</v>
      </c>
      <c r="K525" t="str">
        <f t="shared" si="24"/>
        <v>1.5%</v>
      </c>
      <c r="L525" t="str">
        <f t="shared" si="25"/>
        <v>Need Improvement</v>
      </c>
      <c r="M525" t="b">
        <f>TRUE()</f>
        <v>1</v>
      </c>
      <c r="N525" t="b">
        <f>FALSE()</f>
        <v>0</v>
      </c>
      <c r="O525" s="18" t="b">
        <f t="shared" si="26"/>
        <v>0</v>
      </c>
    </row>
    <row r="526" spans="1:15" x14ac:dyDescent="0.35">
      <c r="A526">
        <v>41787</v>
      </c>
      <c r="B526">
        <v>2005</v>
      </c>
      <c r="C526" t="s">
        <v>23</v>
      </c>
      <c r="D526" t="s">
        <v>31</v>
      </c>
      <c r="E526" t="s">
        <v>28</v>
      </c>
      <c r="F526">
        <v>6</v>
      </c>
      <c r="G526">
        <v>2610</v>
      </c>
      <c r="H526">
        <v>3297.9960000000001</v>
      </c>
      <c r="K526" t="str">
        <f t="shared" si="24"/>
        <v>1.5%</v>
      </c>
      <c r="L526" t="str">
        <f t="shared" si="25"/>
        <v>Need Improvement</v>
      </c>
      <c r="M526" t="b">
        <f>TRUE()</f>
        <v>1</v>
      </c>
      <c r="N526" t="b">
        <f>FALSE()</f>
        <v>0</v>
      </c>
      <c r="O526" s="18" t="b">
        <f t="shared" si="26"/>
        <v>0</v>
      </c>
    </row>
    <row r="527" spans="1:15" x14ac:dyDescent="0.35">
      <c r="A527">
        <v>41788</v>
      </c>
      <c r="B527">
        <v>1641</v>
      </c>
      <c r="C527" t="s">
        <v>27</v>
      </c>
      <c r="D527" t="s">
        <v>31</v>
      </c>
      <c r="E527" t="s">
        <v>25</v>
      </c>
      <c r="F527">
        <v>9</v>
      </c>
      <c r="G527">
        <v>1593</v>
      </c>
      <c r="H527">
        <v>2850.8328000000001</v>
      </c>
      <c r="K527" t="str">
        <f t="shared" si="24"/>
        <v>1.5%</v>
      </c>
      <c r="L527" t="str">
        <f t="shared" si="25"/>
        <v>Need Improvement</v>
      </c>
      <c r="M527" t="b">
        <f>TRUE()</f>
        <v>1</v>
      </c>
      <c r="N527" t="b">
        <f>FALSE()</f>
        <v>0</v>
      </c>
      <c r="O527" s="18" t="b">
        <f t="shared" si="26"/>
        <v>0</v>
      </c>
    </row>
    <row r="528" spans="1:15" x14ac:dyDescent="0.35">
      <c r="A528">
        <v>41789</v>
      </c>
      <c r="B528">
        <v>2006</v>
      </c>
      <c r="C528" t="s">
        <v>26</v>
      </c>
      <c r="D528" t="s">
        <v>31</v>
      </c>
      <c r="E528" t="s">
        <v>28</v>
      </c>
      <c r="F528">
        <v>6</v>
      </c>
      <c r="G528">
        <v>5724</v>
      </c>
      <c r="H528">
        <v>2687.4180000000001</v>
      </c>
      <c r="K528" t="str">
        <f t="shared" si="24"/>
        <v>2.5%</v>
      </c>
      <c r="L528" t="str">
        <f t="shared" si="25"/>
        <v>Need Improvement</v>
      </c>
      <c r="M528" t="b">
        <f>TRUE()</f>
        <v>1</v>
      </c>
      <c r="N528" t="b">
        <f>FALSE()</f>
        <v>0</v>
      </c>
      <c r="O528" s="18" t="b">
        <f t="shared" si="26"/>
        <v>0</v>
      </c>
    </row>
    <row r="529" spans="1:15" x14ac:dyDescent="0.35">
      <c r="A529">
        <v>41790</v>
      </c>
      <c r="B529">
        <v>1642</v>
      </c>
      <c r="C529" t="s">
        <v>23</v>
      </c>
      <c r="D529" t="s">
        <v>31</v>
      </c>
      <c r="E529" t="s">
        <v>25</v>
      </c>
      <c r="F529">
        <v>10</v>
      </c>
      <c r="G529">
        <v>6930</v>
      </c>
      <c r="H529">
        <v>3246.9359999999997</v>
      </c>
      <c r="K529" t="str">
        <f t="shared" si="24"/>
        <v>2.5%</v>
      </c>
      <c r="L529" t="str">
        <f t="shared" si="25"/>
        <v>Need Improvement</v>
      </c>
      <c r="M529" t="b">
        <f>TRUE()</f>
        <v>1</v>
      </c>
      <c r="N529" t="b">
        <f>FALSE()</f>
        <v>0</v>
      </c>
      <c r="O529" s="18" t="b">
        <f t="shared" si="26"/>
        <v>0</v>
      </c>
    </row>
    <row r="530" spans="1:15" x14ac:dyDescent="0.35">
      <c r="A530">
        <v>41791</v>
      </c>
      <c r="B530">
        <v>2007</v>
      </c>
      <c r="C530" t="s">
        <v>27</v>
      </c>
      <c r="D530" t="s">
        <v>31</v>
      </c>
      <c r="E530" t="s">
        <v>29</v>
      </c>
      <c r="F530">
        <v>9</v>
      </c>
      <c r="G530">
        <v>11790</v>
      </c>
      <c r="H530">
        <v>4036.8959999999997</v>
      </c>
      <c r="K530" t="str">
        <f t="shared" si="24"/>
        <v>5%</v>
      </c>
      <c r="L530" t="str">
        <f t="shared" si="25"/>
        <v>Good</v>
      </c>
      <c r="M530" t="b">
        <f>TRUE()</f>
        <v>1</v>
      </c>
      <c r="N530" t="b">
        <f>FALSE()</f>
        <v>0</v>
      </c>
      <c r="O530" s="18" t="b">
        <f t="shared" si="26"/>
        <v>0</v>
      </c>
    </row>
    <row r="531" spans="1:15" x14ac:dyDescent="0.35">
      <c r="A531">
        <v>41792</v>
      </c>
      <c r="B531">
        <v>1643</v>
      </c>
      <c r="C531" t="s">
        <v>26</v>
      </c>
      <c r="D531" t="s">
        <v>31</v>
      </c>
      <c r="E531" t="s">
        <v>25</v>
      </c>
      <c r="F531">
        <v>6</v>
      </c>
      <c r="G531">
        <v>2556</v>
      </c>
      <c r="H531">
        <v>3082.5360000000005</v>
      </c>
      <c r="K531" t="str">
        <f t="shared" si="24"/>
        <v>1.5%</v>
      </c>
      <c r="L531" t="str">
        <f t="shared" si="25"/>
        <v>Need Improvement</v>
      </c>
      <c r="M531" t="b">
        <f>TRUE()</f>
        <v>1</v>
      </c>
      <c r="N531" t="b">
        <f>FALSE()</f>
        <v>0</v>
      </c>
      <c r="O531" s="18" t="b">
        <f t="shared" si="26"/>
        <v>0</v>
      </c>
    </row>
    <row r="532" spans="1:15" x14ac:dyDescent="0.35">
      <c r="A532">
        <v>41793</v>
      </c>
      <c r="B532">
        <v>2008</v>
      </c>
      <c r="C532" t="s">
        <v>23</v>
      </c>
      <c r="D532" t="s">
        <v>31</v>
      </c>
      <c r="E532" t="s">
        <v>29</v>
      </c>
      <c r="F532">
        <v>6</v>
      </c>
      <c r="G532">
        <v>4410</v>
      </c>
      <c r="H532">
        <v>876.92849999999999</v>
      </c>
      <c r="K532" t="str">
        <f t="shared" si="24"/>
        <v>1.5%</v>
      </c>
      <c r="L532" t="str">
        <f t="shared" si="25"/>
        <v>Need Improvement</v>
      </c>
      <c r="M532" t="b">
        <f>TRUE()</f>
        <v>1</v>
      </c>
      <c r="N532" t="b">
        <f>FALSE()</f>
        <v>0</v>
      </c>
      <c r="O532" s="18" t="b">
        <f t="shared" si="26"/>
        <v>0</v>
      </c>
    </row>
    <row r="533" spans="1:15" x14ac:dyDescent="0.35">
      <c r="A533">
        <v>41794</v>
      </c>
      <c r="B533">
        <v>1644</v>
      </c>
      <c r="C533" t="s">
        <v>27</v>
      </c>
      <c r="D533" t="s">
        <v>31</v>
      </c>
      <c r="E533" t="s">
        <v>28</v>
      </c>
      <c r="F533">
        <v>7</v>
      </c>
      <c r="G533">
        <v>2856</v>
      </c>
      <c r="H533">
        <v>3148.74</v>
      </c>
      <c r="K533" t="str">
        <f t="shared" si="24"/>
        <v>1.5%</v>
      </c>
      <c r="L533" t="str">
        <f t="shared" si="25"/>
        <v>Need Improvement</v>
      </c>
      <c r="M533" t="b">
        <f>TRUE()</f>
        <v>1</v>
      </c>
      <c r="N533" t="b">
        <f>FALSE()</f>
        <v>0</v>
      </c>
      <c r="O533" s="18" t="b">
        <f t="shared" si="26"/>
        <v>0</v>
      </c>
    </row>
    <row r="534" spans="1:15" x14ac:dyDescent="0.35">
      <c r="A534">
        <v>41795</v>
      </c>
      <c r="B534">
        <v>2009</v>
      </c>
      <c r="C534" t="s">
        <v>26</v>
      </c>
      <c r="D534" t="s">
        <v>31</v>
      </c>
      <c r="E534" t="s">
        <v>29</v>
      </c>
      <c r="F534">
        <v>9</v>
      </c>
      <c r="G534">
        <v>6318</v>
      </c>
      <c r="H534">
        <v>2062.1951999999997</v>
      </c>
      <c r="K534" t="str">
        <f t="shared" si="24"/>
        <v>2.5%</v>
      </c>
      <c r="L534" t="str">
        <f t="shared" si="25"/>
        <v>Need Improvement</v>
      </c>
      <c r="M534" t="b">
        <f>TRUE()</f>
        <v>1</v>
      </c>
      <c r="N534" t="b">
        <f>FALSE()</f>
        <v>0</v>
      </c>
      <c r="O534" s="18" t="b">
        <f t="shared" si="26"/>
        <v>0</v>
      </c>
    </row>
    <row r="535" spans="1:15" x14ac:dyDescent="0.35">
      <c r="A535">
        <v>41796</v>
      </c>
      <c r="B535">
        <v>1645</v>
      </c>
      <c r="C535" t="s">
        <v>23</v>
      </c>
      <c r="D535" t="s">
        <v>31</v>
      </c>
      <c r="E535" t="s">
        <v>28</v>
      </c>
      <c r="F535">
        <v>7</v>
      </c>
      <c r="G535">
        <v>4186</v>
      </c>
      <c r="H535">
        <v>2015.5590000000002</v>
      </c>
      <c r="K535" t="str">
        <f t="shared" si="24"/>
        <v>1.5%</v>
      </c>
      <c r="L535" t="str">
        <f t="shared" si="25"/>
        <v>Need Improvement</v>
      </c>
      <c r="M535" t="b">
        <f>TRUE()</f>
        <v>1</v>
      </c>
      <c r="N535" t="b">
        <f>FALSE()</f>
        <v>0</v>
      </c>
      <c r="O535" s="18" t="b">
        <f t="shared" si="26"/>
        <v>0</v>
      </c>
    </row>
    <row r="536" spans="1:15" x14ac:dyDescent="0.35">
      <c r="A536">
        <v>41797</v>
      </c>
      <c r="B536">
        <v>2010</v>
      </c>
      <c r="C536" t="s">
        <v>27</v>
      </c>
      <c r="D536" t="s">
        <v>31</v>
      </c>
      <c r="E536" t="s">
        <v>25</v>
      </c>
      <c r="F536">
        <v>6</v>
      </c>
      <c r="G536">
        <v>9000</v>
      </c>
      <c r="H536">
        <v>1546.56</v>
      </c>
      <c r="K536" t="str">
        <f t="shared" si="24"/>
        <v>2.5%</v>
      </c>
      <c r="L536" t="str">
        <f t="shared" si="25"/>
        <v>Need Improvement</v>
      </c>
      <c r="M536" t="b">
        <f>TRUE()</f>
        <v>1</v>
      </c>
      <c r="N536" t="b">
        <f>FALSE()</f>
        <v>0</v>
      </c>
      <c r="O536" s="18" t="b">
        <f t="shared" si="26"/>
        <v>0</v>
      </c>
    </row>
    <row r="537" spans="1:15" x14ac:dyDescent="0.35">
      <c r="A537">
        <v>41798</v>
      </c>
      <c r="B537">
        <v>1646</v>
      </c>
      <c r="C537" t="s">
        <v>26</v>
      </c>
      <c r="D537" t="s">
        <v>31</v>
      </c>
      <c r="E537" t="s">
        <v>28</v>
      </c>
      <c r="F537">
        <v>9</v>
      </c>
      <c r="G537">
        <v>11448</v>
      </c>
      <c r="H537">
        <v>5098.6530000000002</v>
      </c>
      <c r="K537" t="str">
        <f t="shared" si="24"/>
        <v>5%</v>
      </c>
      <c r="L537" t="str">
        <f t="shared" si="25"/>
        <v>Good</v>
      </c>
      <c r="M537" t="b">
        <f>TRUE()</f>
        <v>1</v>
      </c>
      <c r="N537" t="b">
        <f>FALSE()</f>
        <v>0</v>
      </c>
      <c r="O537" s="18" t="b">
        <f t="shared" si="26"/>
        <v>0</v>
      </c>
    </row>
    <row r="538" spans="1:15" x14ac:dyDescent="0.35">
      <c r="A538">
        <v>41799</v>
      </c>
      <c r="B538">
        <v>2011</v>
      </c>
      <c r="C538" t="s">
        <v>23</v>
      </c>
      <c r="D538" t="s">
        <v>31</v>
      </c>
      <c r="E538" t="s">
        <v>25</v>
      </c>
      <c r="F538">
        <v>9</v>
      </c>
      <c r="G538">
        <v>14850</v>
      </c>
      <c r="H538">
        <v>923.07600000000002</v>
      </c>
      <c r="K538" t="str">
        <f t="shared" si="24"/>
        <v>5%</v>
      </c>
      <c r="L538" t="str">
        <f t="shared" si="25"/>
        <v>Good</v>
      </c>
      <c r="M538" t="b">
        <f>TRUE()</f>
        <v>1</v>
      </c>
      <c r="N538" t="b">
        <f>FALSE()</f>
        <v>0</v>
      </c>
      <c r="O538" s="18" t="b">
        <f t="shared" si="26"/>
        <v>0</v>
      </c>
    </row>
    <row r="539" spans="1:15" x14ac:dyDescent="0.35">
      <c r="A539">
        <v>41800</v>
      </c>
      <c r="B539">
        <v>1647</v>
      </c>
      <c r="C539" t="s">
        <v>27</v>
      </c>
      <c r="D539" t="s">
        <v>31</v>
      </c>
      <c r="E539" t="s">
        <v>29</v>
      </c>
      <c r="F539">
        <v>9</v>
      </c>
      <c r="G539">
        <v>4941</v>
      </c>
      <c r="H539">
        <v>998.74080000000004</v>
      </c>
      <c r="K539" t="str">
        <f t="shared" si="24"/>
        <v>1.5%</v>
      </c>
      <c r="L539" t="str">
        <f t="shared" si="25"/>
        <v>Need Improvement</v>
      </c>
      <c r="M539" t="b">
        <f>TRUE()</f>
        <v>1</v>
      </c>
      <c r="N539" t="b">
        <f>FALSE()</f>
        <v>0</v>
      </c>
      <c r="O539" s="18" t="b">
        <f t="shared" si="26"/>
        <v>0</v>
      </c>
    </row>
    <row r="540" spans="1:15" x14ac:dyDescent="0.35">
      <c r="A540">
        <v>41801</v>
      </c>
      <c r="B540">
        <v>2012</v>
      </c>
      <c r="C540" t="s">
        <v>26</v>
      </c>
      <c r="D540" t="s">
        <v>31</v>
      </c>
      <c r="E540" t="s">
        <v>25</v>
      </c>
      <c r="F540">
        <v>9</v>
      </c>
      <c r="G540">
        <v>9288</v>
      </c>
      <c r="H540">
        <v>4353.75</v>
      </c>
      <c r="K540" t="str">
        <f t="shared" si="24"/>
        <v>2.5%</v>
      </c>
      <c r="L540" t="str">
        <f t="shared" si="25"/>
        <v>Need Improvement</v>
      </c>
      <c r="M540" t="b">
        <f>TRUE()</f>
        <v>1</v>
      </c>
      <c r="N540" t="b">
        <f>FALSE()</f>
        <v>0</v>
      </c>
      <c r="O540" s="18" t="b">
        <f t="shared" si="26"/>
        <v>0</v>
      </c>
    </row>
    <row r="541" spans="1:15" x14ac:dyDescent="0.35">
      <c r="A541">
        <v>41802</v>
      </c>
      <c r="B541">
        <v>1648</v>
      </c>
      <c r="C541" t="s">
        <v>23</v>
      </c>
      <c r="D541" t="s">
        <v>31</v>
      </c>
      <c r="E541" t="s">
        <v>29</v>
      </c>
      <c r="F541">
        <v>7</v>
      </c>
      <c r="G541">
        <v>8064</v>
      </c>
      <c r="H541">
        <v>2388.96</v>
      </c>
      <c r="K541" t="str">
        <f t="shared" si="24"/>
        <v>2.5%</v>
      </c>
      <c r="L541" t="str">
        <f t="shared" si="25"/>
        <v>Need Improvement</v>
      </c>
      <c r="M541" t="b">
        <f>TRUE()</f>
        <v>1</v>
      </c>
      <c r="N541" t="b">
        <f>FALSE()</f>
        <v>0</v>
      </c>
      <c r="O541" s="18" t="b">
        <f t="shared" si="26"/>
        <v>0</v>
      </c>
    </row>
    <row r="542" spans="1:15" x14ac:dyDescent="0.35">
      <c r="A542">
        <v>41803</v>
      </c>
      <c r="B542">
        <v>2013</v>
      </c>
      <c r="C542" t="s">
        <v>27</v>
      </c>
      <c r="D542" t="s">
        <v>31</v>
      </c>
      <c r="E542" t="s">
        <v>28</v>
      </c>
      <c r="F542">
        <v>9</v>
      </c>
      <c r="G542">
        <v>5751</v>
      </c>
      <c r="H542">
        <v>718.49160000000006</v>
      </c>
      <c r="K542" t="str">
        <f t="shared" si="24"/>
        <v>2.5%</v>
      </c>
      <c r="L542" t="str">
        <f t="shared" si="25"/>
        <v>Need Improvement</v>
      </c>
      <c r="M542" t="b">
        <f>TRUE()</f>
        <v>1</v>
      </c>
      <c r="N542" t="b">
        <f>FALSE()</f>
        <v>0</v>
      </c>
      <c r="O542" s="18" t="b">
        <f t="shared" si="26"/>
        <v>0</v>
      </c>
    </row>
    <row r="543" spans="1:15" x14ac:dyDescent="0.35">
      <c r="A543">
        <v>41804</v>
      </c>
      <c r="B543">
        <v>1649</v>
      </c>
      <c r="C543" t="s">
        <v>26</v>
      </c>
      <c r="D543" t="s">
        <v>31</v>
      </c>
      <c r="E543" t="s">
        <v>29</v>
      </c>
      <c r="F543">
        <v>7</v>
      </c>
      <c r="G543">
        <v>3360</v>
      </c>
      <c r="H543">
        <v>3539.76</v>
      </c>
      <c r="K543" t="str">
        <f t="shared" si="24"/>
        <v>1.5%</v>
      </c>
      <c r="L543" t="str">
        <f t="shared" si="25"/>
        <v>Need Improvement</v>
      </c>
      <c r="M543" t="b">
        <f>TRUE()</f>
        <v>1</v>
      </c>
      <c r="N543" t="b">
        <f>FALSE()</f>
        <v>0</v>
      </c>
      <c r="O543" s="18" t="b">
        <f t="shared" si="26"/>
        <v>0</v>
      </c>
    </row>
    <row r="544" spans="1:15" x14ac:dyDescent="0.35">
      <c r="A544">
        <v>41805</v>
      </c>
      <c r="B544">
        <v>2014</v>
      </c>
      <c r="C544" t="s">
        <v>23</v>
      </c>
      <c r="D544" t="s">
        <v>31</v>
      </c>
      <c r="E544" t="s">
        <v>28</v>
      </c>
      <c r="F544">
        <v>7</v>
      </c>
      <c r="G544">
        <v>5229</v>
      </c>
      <c r="H544">
        <v>2625.8295000000003</v>
      </c>
      <c r="K544" t="str">
        <f t="shared" si="24"/>
        <v>2.5%</v>
      </c>
      <c r="L544" t="str">
        <f t="shared" si="25"/>
        <v>Need Improvement</v>
      </c>
      <c r="M544" t="b">
        <f>TRUE()</f>
        <v>1</v>
      </c>
      <c r="N544" t="b">
        <f>FALSE()</f>
        <v>0</v>
      </c>
      <c r="O544" s="18" t="b">
        <f t="shared" si="26"/>
        <v>0</v>
      </c>
    </row>
    <row r="545" spans="1:15" x14ac:dyDescent="0.35">
      <c r="A545">
        <v>41806</v>
      </c>
      <c r="B545">
        <v>1650</v>
      </c>
      <c r="C545" t="s">
        <v>27</v>
      </c>
      <c r="D545" t="s">
        <v>31</v>
      </c>
      <c r="E545" t="s">
        <v>25</v>
      </c>
      <c r="F545">
        <v>7</v>
      </c>
      <c r="G545">
        <v>1732.5</v>
      </c>
      <c r="H545">
        <v>690.40125000000012</v>
      </c>
      <c r="K545" t="str">
        <f t="shared" si="24"/>
        <v>1.5%</v>
      </c>
      <c r="L545" t="str">
        <f t="shared" si="25"/>
        <v>Need Improvement</v>
      </c>
      <c r="M545" t="b">
        <f>TRUE()</f>
        <v>1</v>
      </c>
      <c r="N545" t="b">
        <f>FALSE()</f>
        <v>0</v>
      </c>
      <c r="O545" s="18" t="b">
        <f t="shared" si="26"/>
        <v>0</v>
      </c>
    </row>
    <row r="546" spans="1:15" x14ac:dyDescent="0.35">
      <c r="A546">
        <v>41807</v>
      </c>
      <c r="B546">
        <v>2015</v>
      </c>
      <c r="C546" t="s">
        <v>26</v>
      </c>
      <c r="D546" t="s">
        <v>31</v>
      </c>
      <c r="E546" t="s">
        <v>28</v>
      </c>
      <c r="F546">
        <v>7</v>
      </c>
      <c r="G546">
        <v>9828</v>
      </c>
      <c r="H546">
        <v>1585.7477999999999</v>
      </c>
      <c r="K546" t="str">
        <f t="shared" si="24"/>
        <v>2.5%</v>
      </c>
      <c r="L546" t="str">
        <f t="shared" si="25"/>
        <v>Need Improvement</v>
      </c>
      <c r="M546" t="b">
        <f>TRUE()</f>
        <v>1</v>
      </c>
      <c r="N546" t="b">
        <f>FALSE()</f>
        <v>0</v>
      </c>
      <c r="O546" s="18" t="b">
        <f t="shared" si="26"/>
        <v>0</v>
      </c>
    </row>
    <row r="547" spans="1:15" x14ac:dyDescent="0.35">
      <c r="A547">
        <v>41808</v>
      </c>
      <c r="B547">
        <v>1651</v>
      </c>
      <c r="C547" t="s">
        <v>23</v>
      </c>
      <c r="D547" t="s">
        <v>31</v>
      </c>
      <c r="E547" t="s">
        <v>25</v>
      </c>
      <c r="F547">
        <v>10</v>
      </c>
      <c r="G547">
        <v>9375</v>
      </c>
      <c r="H547">
        <v>647.25</v>
      </c>
      <c r="K547" t="str">
        <f t="shared" si="24"/>
        <v>2.5%</v>
      </c>
      <c r="L547" t="str">
        <f t="shared" si="25"/>
        <v>Need Improvement</v>
      </c>
      <c r="M547" t="b">
        <f>TRUE()</f>
        <v>1</v>
      </c>
      <c r="N547" t="b">
        <f>FALSE()</f>
        <v>0</v>
      </c>
      <c r="O547" s="18" t="b">
        <f t="shared" si="26"/>
        <v>0</v>
      </c>
    </row>
    <row r="548" spans="1:15" x14ac:dyDescent="0.35">
      <c r="A548">
        <v>41809</v>
      </c>
      <c r="B548">
        <v>2016</v>
      </c>
      <c r="C548" t="s">
        <v>27</v>
      </c>
      <c r="D548" t="s">
        <v>31</v>
      </c>
      <c r="E548" t="s">
        <v>29</v>
      </c>
      <c r="F548">
        <v>10</v>
      </c>
      <c r="G548">
        <v>8560</v>
      </c>
      <c r="H548">
        <v>2731.0680000000002</v>
      </c>
      <c r="K548" t="str">
        <f t="shared" si="24"/>
        <v>2.5%</v>
      </c>
      <c r="L548" t="str">
        <f t="shared" si="25"/>
        <v>Need Improvement</v>
      </c>
      <c r="M548" t="b">
        <f>TRUE()</f>
        <v>1</v>
      </c>
      <c r="N548" t="b">
        <f>FALSE()</f>
        <v>0</v>
      </c>
      <c r="O548" s="18" t="b">
        <f t="shared" si="26"/>
        <v>0</v>
      </c>
    </row>
    <row r="549" spans="1:15" x14ac:dyDescent="0.35">
      <c r="A549">
        <v>41810</v>
      </c>
      <c r="B549">
        <v>1652</v>
      </c>
      <c r="C549" t="s">
        <v>26</v>
      </c>
      <c r="D549" t="s">
        <v>31</v>
      </c>
      <c r="E549" t="s">
        <v>25</v>
      </c>
      <c r="F549">
        <v>9</v>
      </c>
      <c r="G549">
        <v>2331</v>
      </c>
      <c r="H549">
        <v>3305.3579999999997</v>
      </c>
      <c r="K549" t="str">
        <f t="shared" si="24"/>
        <v>1.5%</v>
      </c>
      <c r="L549" t="str">
        <f t="shared" si="25"/>
        <v>Need Improvement</v>
      </c>
      <c r="M549" t="b">
        <f>TRUE()</f>
        <v>1</v>
      </c>
      <c r="N549" t="b">
        <f>FALSE()</f>
        <v>0</v>
      </c>
      <c r="O549" s="18" t="b">
        <f t="shared" si="26"/>
        <v>0</v>
      </c>
    </row>
    <row r="550" spans="1:15" x14ac:dyDescent="0.35">
      <c r="A550">
        <v>41811</v>
      </c>
      <c r="B550">
        <v>2017</v>
      </c>
      <c r="C550" t="s">
        <v>23</v>
      </c>
      <c r="D550" t="s">
        <v>31</v>
      </c>
      <c r="E550" t="s">
        <v>29</v>
      </c>
      <c r="F550">
        <v>7</v>
      </c>
      <c r="G550">
        <v>10878</v>
      </c>
      <c r="H550">
        <v>3198.9478499999996</v>
      </c>
      <c r="K550" t="str">
        <f t="shared" si="24"/>
        <v>5%</v>
      </c>
      <c r="L550" t="str">
        <f t="shared" si="25"/>
        <v>Good</v>
      </c>
      <c r="M550" t="b">
        <f>TRUE()</f>
        <v>1</v>
      </c>
      <c r="N550" t="b">
        <f>FALSE()</f>
        <v>0</v>
      </c>
      <c r="O550" s="18" t="b">
        <f t="shared" si="26"/>
        <v>0</v>
      </c>
    </row>
    <row r="551" spans="1:15" x14ac:dyDescent="0.35">
      <c r="A551">
        <v>41812</v>
      </c>
      <c r="B551">
        <v>2028</v>
      </c>
      <c r="C551" t="s">
        <v>27</v>
      </c>
      <c r="D551" t="s">
        <v>31</v>
      </c>
      <c r="E551" t="s">
        <v>25</v>
      </c>
      <c r="F551">
        <v>8</v>
      </c>
      <c r="G551">
        <v>2832</v>
      </c>
      <c r="H551">
        <v>5053.7039999999997</v>
      </c>
      <c r="K551" t="str">
        <f t="shared" si="24"/>
        <v>1.5%</v>
      </c>
      <c r="L551" t="str">
        <f t="shared" si="25"/>
        <v>Good</v>
      </c>
      <c r="M551" t="b">
        <f>TRUE()</f>
        <v>1</v>
      </c>
      <c r="N551" t="b">
        <f>FALSE()</f>
        <v>0</v>
      </c>
      <c r="O551" s="18" t="b">
        <f t="shared" si="26"/>
        <v>0</v>
      </c>
    </row>
    <row r="552" spans="1:15" x14ac:dyDescent="0.35">
      <c r="A552">
        <v>41813</v>
      </c>
      <c r="B552">
        <v>1664</v>
      </c>
      <c r="C552" t="s">
        <v>26</v>
      </c>
      <c r="D552" t="s">
        <v>31</v>
      </c>
      <c r="E552" t="s">
        <v>28</v>
      </c>
      <c r="F552">
        <v>7</v>
      </c>
      <c r="G552">
        <v>2425.5</v>
      </c>
      <c r="H552">
        <v>952.97894999999994</v>
      </c>
      <c r="K552" t="str">
        <f t="shared" si="24"/>
        <v>1.5%</v>
      </c>
      <c r="L552" t="str">
        <f t="shared" si="25"/>
        <v>Need Improvement</v>
      </c>
      <c r="M552" t="b">
        <f>TRUE()</f>
        <v>1</v>
      </c>
      <c r="N552" t="b">
        <f>FALSE()</f>
        <v>0</v>
      </c>
      <c r="O552" s="18" t="b">
        <f t="shared" si="26"/>
        <v>0</v>
      </c>
    </row>
    <row r="553" spans="1:15" x14ac:dyDescent="0.35">
      <c r="A553">
        <v>41814</v>
      </c>
      <c r="B553">
        <v>2029</v>
      </c>
      <c r="C553" t="s">
        <v>23</v>
      </c>
      <c r="D553" t="s">
        <v>31</v>
      </c>
      <c r="E553" t="s">
        <v>25</v>
      </c>
      <c r="F553">
        <v>7</v>
      </c>
      <c r="G553">
        <v>2100</v>
      </c>
      <c r="H553">
        <v>4363.8</v>
      </c>
      <c r="K553" t="str">
        <f t="shared" si="24"/>
        <v>1.5%</v>
      </c>
      <c r="L553" t="str">
        <f t="shared" si="25"/>
        <v>Need Improvement</v>
      </c>
      <c r="M553" t="b">
        <f>TRUE()</f>
        <v>1</v>
      </c>
      <c r="N553" t="b">
        <f>FALSE()</f>
        <v>0</v>
      </c>
      <c r="O553" s="18" t="b">
        <f t="shared" si="26"/>
        <v>0</v>
      </c>
    </row>
    <row r="554" spans="1:15" x14ac:dyDescent="0.35">
      <c r="A554">
        <v>41815</v>
      </c>
      <c r="B554">
        <v>1665</v>
      </c>
      <c r="C554" t="s">
        <v>27</v>
      </c>
      <c r="D554" t="s">
        <v>31</v>
      </c>
      <c r="E554" t="s">
        <v>29</v>
      </c>
      <c r="F554">
        <v>10</v>
      </c>
      <c r="G554">
        <v>2740</v>
      </c>
      <c r="H554">
        <v>1167.5139999999999</v>
      </c>
      <c r="K554" t="str">
        <f t="shared" si="24"/>
        <v>1.5%</v>
      </c>
      <c r="L554" t="str">
        <f t="shared" si="25"/>
        <v>Need Improvement</v>
      </c>
      <c r="M554" t="b">
        <f>TRUE()</f>
        <v>1</v>
      </c>
      <c r="N554" t="b">
        <f>FALSE()</f>
        <v>0</v>
      </c>
      <c r="O554" s="18" t="b">
        <f t="shared" si="26"/>
        <v>0</v>
      </c>
    </row>
    <row r="555" spans="1:15" x14ac:dyDescent="0.35">
      <c r="A555">
        <v>41816</v>
      </c>
      <c r="B555">
        <v>2030</v>
      </c>
      <c r="C555" t="s">
        <v>26</v>
      </c>
      <c r="D555" t="s">
        <v>31</v>
      </c>
      <c r="E555" t="s">
        <v>25</v>
      </c>
      <c r="F555">
        <v>10</v>
      </c>
      <c r="G555">
        <v>7470</v>
      </c>
      <c r="H555">
        <v>4834.335</v>
      </c>
      <c r="K555" t="str">
        <f t="shared" si="24"/>
        <v>2.5%</v>
      </c>
      <c r="L555" t="str">
        <f t="shared" si="25"/>
        <v>Need Improvement</v>
      </c>
      <c r="M555" t="b">
        <f>TRUE()</f>
        <v>1</v>
      </c>
      <c r="N555" t="b">
        <f>FALSE()</f>
        <v>0</v>
      </c>
      <c r="O555" s="18" t="b">
        <f t="shared" si="26"/>
        <v>0</v>
      </c>
    </row>
    <row r="556" spans="1:15" x14ac:dyDescent="0.35">
      <c r="A556">
        <v>41817</v>
      </c>
      <c r="B556">
        <v>1666</v>
      </c>
      <c r="C556" t="s">
        <v>23</v>
      </c>
      <c r="D556" t="s">
        <v>31</v>
      </c>
      <c r="E556" t="s">
        <v>29</v>
      </c>
      <c r="F556">
        <v>7</v>
      </c>
      <c r="G556">
        <v>2184</v>
      </c>
      <c r="H556">
        <v>3318.5880000000002</v>
      </c>
      <c r="K556" t="str">
        <f t="shared" si="24"/>
        <v>1.5%</v>
      </c>
      <c r="L556" t="str">
        <f t="shared" si="25"/>
        <v>Need Improvement</v>
      </c>
      <c r="M556" t="b">
        <f>TRUE()</f>
        <v>1</v>
      </c>
      <c r="N556" t="b">
        <f>FALSE()</f>
        <v>0</v>
      </c>
      <c r="O556" s="18" t="b">
        <f t="shared" si="26"/>
        <v>0</v>
      </c>
    </row>
    <row r="557" spans="1:15" x14ac:dyDescent="0.35">
      <c r="A557">
        <v>41818</v>
      </c>
      <c r="B557">
        <v>2031</v>
      </c>
      <c r="C557" t="s">
        <v>27</v>
      </c>
      <c r="D557" t="s">
        <v>31</v>
      </c>
      <c r="E557" t="s">
        <v>28</v>
      </c>
      <c r="F557">
        <v>9</v>
      </c>
      <c r="G557">
        <v>5386.5</v>
      </c>
      <c r="H557">
        <v>3093.6464999999998</v>
      </c>
      <c r="K557" t="str">
        <f t="shared" si="24"/>
        <v>2.5%</v>
      </c>
      <c r="L557" t="str">
        <f t="shared" si="25"/>
        <v>Need Improvement</v>
      </c>
      <c r="M557" t="b">
        <f>TRUE()</f>
        <v>1</v>
      </c>
      <c r="N557" t="b">
        <f>FALSE()</f>
        <v>0</v>
      </c>
      <c r="O557" s="18" t="b">
        <f t="shared" si="26"/>
        <v>0</v>
      </c>
    </row>
    <row r="558" spans="1:15" x14ac:dyDescent="0.35">
      <c r="A558">
        <v>41819</v>
      </c>
      <c r="B558">
        <v>1667</v>
      </c>
      <c r="C558" t="s">
        <v>26</v>
      </c>
      <c r="D558" t="s">
        <v>31</v>
      </c>
      <c r="E558" t="s">
        <v>29</v>
      </c>
      <c r="F558">
        <v>6</v>
      </c>
      <c r="G558">
        <v>11295</v>
      </c>
      <c r="H558">
        <v>2857.1831999999995</v>
      </c>
      <c r="K558" t="str">
        <f t="shared" si="24"/>
        <v>5%</v>
      </c>
      <c r="L558" t="str">
        <f t="shared" si="25"/>
        <v>Good</v>
      </c>
      <c r="M558" t="b">
        <f>TRUE()</f>
        <v>1</v>
      </c>
      <c r="N558" t="b">
        <f>FALSE()</f>
        <v>0</v>
      </c>
      <c r="O558" s="18" t="b">
        <f t="shared" si="26"/>
        <v>0</v>
      </c>
    </row>
    <row r="559" spans="1:15" x14ac:dyDescent="0.35">
      <c r="A559">
        <v>41820</v>
      </c>
      <c r="B559">
        <v>2032</v>
      </c>
      <c r="C559" t="s">
        <v>23</v>
      </c>
      <c r="D559" t="s">
        <v>31</v>
      </c>
      <c r="E559" t="s">
        <v>28</v>
      </c>
      <c r="F559">
        <v>10</v>
      </c>
      <c r="G559">
        <v>10125</v>
      </c>
      <c r="H559">
        <v>4255.5374999999995</v>
      </c>
      <c r="K559" t="str">
        <f t="shared" si="24"/>
        <v>5%</v>
      </c>
      <c r="L559" t="str">
        <f t="shared" si="25"/>
        <v>Good</v>
      </c>
      <c r="M559" t="b">
        <f>TRUE()</f>
        <v>1</v>
      </c>
      <c r="N559" t="b">
        <f>FALSE()</f>
        <v>0</v>
      </c>
      <c r="O559" s="18" t="b">
        <f t="shared" si="26"/>
        <v>0</v>
      </c>
    </row>
    <row r="560" spans="1:15" x14ac:dyDescent="0.35">
      <c r="A560">
        <v>41821</v>
      </c>
      <c r="B560">
        <v>1668</v>
      </c>
      <c r="C560" t="s">
        <v>27</v>
      </c>
      <c r="D560" t="s">
        <v>31</v>
      </c>
      <c r="E560" t="s">
        <v>25</v>
      </c>
      <c r="F560">
        <v>7</v>
      </c>
      <c r="G560">
        <v>1669.5</v>
      </c>
      <c r="H560">
        <v>3289.7497500000004</v>
      </c>
      <c r="K560" t="str">
        <f t="shared" si="24"/>
        <v>1.5%</v>
      </c>
      <c r="L560" t="str">
        <f t="shared" si="25"/>
        <v>Need Improvement</v>
      </c>
      <c r="M560" t="b">
        <f>TRUE()</f>
        <v>1</v>
      </c>
      <c r="N560" t="b">
        <f>FALSE()</f>
        <v>0</v>
      </c>
      <c r="O560" s="18" t="b">
        <f t="shared" si="26"/>
        <v>0</v>
      </c>
    </row>
    <row r="561" spans="1:15" x14ac:dyDescent="0.35">
      <c r="A561">
        <v>41822</v>
      </c>
      <c r="B561">
        <v>2033</v>
      </c>
      <c r="C561" t="s">
        <v>26</v>
      </c>
      <c r="D561" t="s">
        <v>31</v>
      </c>
      <c r="E561" t="s">
        <v>28</v>
      </c>
      <c r="F561">
        <v>8</v>
      </c>
      <c r="G561">
        <v>6888</v>
      </c>
      <c r="H561">
        <v>784.77279999999996</v>
      </c>
      <c r="K561" t="str">
        <f t="shared" si="24"/>
        <v>2.5%</v>
      </c>
      <c r="L561" t="str">
        <f t="shared" si="25"/>
        <v>Need Improvement</v>
      </c>
      <c r="M561" t="b">
        <f>TRUE()</f>
        <v>1</v>
      </c>
      <c r="N561" t="b">
        <f>FALSE()</f>
        <v>0</v>
      </c>
      <c r="O561" s="18" t="b">
        <f t="shared" si="26"/>
        <v>0</v>
      </c>
    </row>
    <row r="562" spans="1:15" x14ac:dyDescent="0.35">
      <c r="A562">
        <v>41823</v>
      </c>
      <c r="B562">
        <v>1669</v>
      </c>
      <c r="C562" t="s">
        <v>23</v>
      </c>
      <c r="D562" t="s">
        <v>31</v>
      </c>
      <c r="E562" t="s">
        <v>25</v>
      </c>
      <c r="F562">
        <v>8</v>
      </c>
      <c r="G562">
        <v>1872</v>
      </c>
      <c r="H562">
        <v>1362.816</v>
      </c>
      <c r="K562" t="str">
        <f t="shared" si="24"/>
        <v>1.5%</v>
      </c>
      <c r="L562" t="str">
        <f t="shared" si="25"/>
        <v>Need Improvement</v>
      </c>
      <c r="M562" t="b">
        <f>TRUE()</f>
        <v>1</v>
      </c>
      <c r="N562" t="b">
        <f>FALSE()</f>
        <v>0</v>
      </c>
      <c r="O562" s="18" t="b">
        <f t="shared" si="26"/>
        <v>0</v>
      </c>
    </row>
    <row r="563" spans="1:15" x14ac:dyDescent="0.35">
      <c r="A563">
        <v>41824</v>
      </c>
      <c r="B563">
        <v>2034</v>
      </c>
      <c r="C563" t="s">
        <v>27</v>
      </c>
      <c r="D563" t="s">
        <v>31</v>
      </c>
      <c r="E563" t="s">
        <v>29</v>
      </c>
      <c r="F563">
        <v>10</v>
      </c>
      <c r="G563">
        <v>6615</v>
      </c>
      <c r="H563">
        <v>3328.4474999999998</v>
      </c>
      <c r="K563" t="str">
        <f t="shared" si="24"/>
        <v>2.5%</v>
      </c>
      <c r="L563" t="str">
        <f t="shared" si="25"/>
        <v>Need Improvement</v>
      </c>
      <c r="M563" t="b">
        <f>TRUE()</f>
        <v>1</v>
      </c>
      <c r="N563" t="b">
        <f>FALSE()</f>
        <v>0</v>
      </c>
      <c r="O563" s="18" t="b">
        <f t="shared" si="26"/>
        <v>0</v>
      </c>
    </row>
    <row r="564" spans="1:15" x14ac:dyDescent="0.35">
      <c r="A564">
        <v>41825</v>
      </c>
      <c r="B564">
        <v>1670</v>
      </c>
      <c r="C564" t="s">
        <v>26</v>
      </c>
      <c r="D564" t="s">
        <v>31</v>
      </c>
      <c r="E564" t="s">
        <v>25</v>
      </c>
      <c r="F564">
        <v>8</v>
      </c>
      <c r="G564">
        <v>8960</v>
      </c>
      <c r="H564">
        <v>3458.56</v>
      </c>
      <c r="K564" t="str">
        <f t="shared" si="24"/>
        <v>2.5%</v>
      </c>
      <c r="L564" t="str">
        <f t="shared" si="25"/>
        <v>Need Improvement</v>
      </c>
      <c r="M564" t="b">
        <f>TRUE()</f>
        <v>1</v>
      </c>
      <c r="N564" t="b">
        <f>FALSE()</f>
        <v>0</v>
      </c>
      <c r="O564" s="18" t="b">
        <f t="shared" si="26"/>
        <v>0</v>
      </c>
    </row>
    <row r="565" spans="1:15" x14ac:dyDescent="0.35">
      <c r="A565">
        <v>41826</v>
      </c>
      <c r="B565">
        <v>2035</v>
      </c>
      <c r="C565" t="s">
        <v>23</v>
      </c>
      <c r="D565" t="s">
        <v>31</v>
      </c>
      <c r="E565" t="s">
        <v>29</v>
      </c>
      <c r="F565">
        <v>9</v>
      </c>
      <c r="G565">
        <v>6507</v>
      </c>
      <c r="H565">
        <v>935.05589999999995</v>
      </c>
      <c r="K565" t="str">
        <f t="shared" si="24"/>
        <v>2.5%</v>
      </c>
      <c r="L565" t="str">
        <f t="shared" si="25"/>
        <v>Need Improvement</v>
      </c>
      <c r="M565" t="b">
        <f>TRUE()</f>
        <v>1</v>
      </c>
      <c r="N565" t="b">
        <f>FALSE()</f>
        <v>0</v>
      </c>
      <c r="O565" s="18" t="b">
        <f t="shared" si="26"/>
        <v>0</v>
      </c>
    </row>
    <row r="566" spans="1:15" x14ac:dyDescent="0.35">
      <c r="A566">
        <v>41827</v>
      </c>
      <c r="B566">
        <v>1671</v>
      </c>
      <c r="C566" t="s">
        <v>27</v>
      </c>
      <c r="D566" t="s">
        <v>31</v>
      </c>
      <c r="E566" t="s">
        <v>28</v>
      </c>
      <c r="F566">
        <v>6</v>
      </c>
      <c r="G566">
        <v>1764</v>
      </c>
      <c r="H566">
        <v>1461.2975999999999</v>
      </c>
      <c r="K566" t="str">
        <f t="shared" si="24"/>
        <v>1.5%</v>
      </c>
      <c r="L566" t="str">
        <f t="shared" si="25"/>
        <v>Need Improvement</v>
      </c>
      <c r="M566" t="b">
        <f>TRUE()</f>
        <v>1</v>
      </c>
      <c r="N566" t="b">
        <f>FALSE()</f>
        <v>0</v>
      </c>
      <c r="O566" s="18" t="b">
        <f t="shared" si="26"/>
        <v>0</v>
      </c>
    </row>
    <row r="567" spans="1:15" x14ac:dyDescent="0.35">
      <c r="A567">
        <v>41828</v>
      </c>
      <c r="B567">
        <v>2036</v>
      </c>
      <c r="C567" t="s">
        <v>26</v>
      </c>
      <c r="D567" t="s">
        <v>31</v>
      </c>
      <c r="E567" t="s">
        <v>29</v>
      </c>
      <c r="F567">
        <v>9</v>
      </c>
      <c r="G567">
        <v>1512</v>
      </c>
      <c r="H567">
        <v>2084.1408000000001</v>
      </c>
      <c r="K567" t="str">
        <f t="shared" si="24"/>
        <v>1.5%</v>
      </c>
      <c r="L567" t="str">
        <f t="shared" si="25"/>
        <v>Need Improvement</v>
      </c>
      <c r="M567" t="b">
        <f>TRUE()</f>
        <v>1</v>
      </c>
      <c r="N567" t="b">
        <f>FALSE()</f>
        <v>0</v>
      </c>
      <c r="O567" s="18" t="b">
        <f t="shared" si="26"/>
        <v>0</v>
      </c>
    </row>
    <row r="568" spans="1:15" x14ac:dyDescent="0.35">
      <c r="A568">
        <v>41829</v>
      </c>
      <c r="B568">
        <v>1672</v>
      </c>
      <c r="C568" t="s">
        <v>23</v>
      </c>
      <c r="D568" t="s">
        <v>31</v>
      </c>
      <c r="E568" t="s">
        <v>28</v>
      </c>
      <c r="F568">
        <v>6</v>
      </c>
      <c r="G568">
        <v>12285</v>
      </c>
      <c r="H568">
        <v>1660.932</v>
      </c>
      <c r="K568" t="str">
        <f t="shared" si="24"/>
        <v>5%</v>
      </c>
      <c r="L568" t="str">
        <f t="shared" si="25"/>
        <v>Good</v>
      </c>
      <c r="M568" t="b">
        <f>TRUE()</f>
        <v>1</v>
      </c>
      <c r="N568" t="b">
        <f>FALSE()</f>
        <v>0</v>
      </c>
      <c r="O568" s="18" t="b">
        <f t="shared" si="26"/>
        <v>0</v>
      </c>
    </row>
    <row r="569" spans="1:15" x14ac:dyDescent="0.35">
      <c r="A569">
        <v>40909</v>
      </c>
      <c r="B569">
        <v>2037</v>
      </c>
      <c r="C569" t="s">
        <v>27</v>
      </c>
      <c r="D569" t="s">
        <v>32</v>
      </c>
      <c r="E569" t="s">
        <v>25</v>
      </c>
      <c r="F569">
        <v>7</v>
      </c>
      <c r="G569">
        <v>10552.5</v>
      </c>
      <c r="H569">
        <v>2600.9802</v>
      </c>
      <c r="K569" t="str">
        <f t="shared" si="24"/>
        <v>5%</v>
      </c>
      <c r="L569" t="str">
        <f t="shared" si="25"/>
        <v>Good</v>
      </c>
      <c r="M569" t="b">
        <f>TRUE()</f>
        <v>1</v>
      </c>
      <c r="N569" t="b">
        <f>FALSE()</f>
        <v>0</v>
      </c>
      <c r="O569" s="18" t="b">
        <f t="shared" si="26"/>
        <v>0</v>
      </c>
    </row>
    <row r="570" spans="1:15" x14ac:dyDescent="0.35">
      <c r="A570">
        <v>40910</v>
      </c>
      <c r="B570">
        <v>1673</v>
      </c>
      <c r="C570" t="s">
        <v>26</v>
      </c>
      <c r="D570" t="s">
        <v>32</v>
      </c>
      <c r="E570" t="s">
        <v>28</v>
      </c>
      <c r="F570">
        <v>8</v>
      </c>
      <c r="G570">
        <v>6528</v>
      </c>
      <c r="H570">
        <v>3850.4320000000002</v>
      </c>
      <c r="K570" t="str">
        <f t="shared" si="24"/>
        <v>2.5%</v>
      </c>
      <c r="L570" t="str">
        <f t="shared" si="25"/>
        <v>Need Improvement</v>
      </c>
      <c r="M570" t="b">
        <f>TRUE()</f>
        <v>1</v>
      </c>
      <c r="N570" t="b">
        <f>FALSE()</f>
        <v>0</v>
      </c>
      <c r="O570" s="18" t="b">
        <f t="shared" si="26"/>
        <v>0</v>
      </c>
    </row>
    <row r="571" spans="1:15" x14ac:dyDescent="0.35">
      <c r="A571">
        <v>40911</v>
      </c>
      <c r="B571">
        <v>2038</v>
      </c>
      <c r="C571" t="s">
        <v>23</v>
      </c>
      <c r="D571" t="s">
        <v>32</v>
      </c>
      <c r="E571" t="s">
        <v>25</v>
      </c>
      <c r="F571">
        <v>7</v>
      </c>
      <c r="G571">
        <v>10710</v>
      </c>
      <c r="H571">
        <v>1105.5397499999999</v>
      </c>
      <c r="K571" t="str">
        <f t="shared" si="24"/>
        <v>5%</v>
      </c>
      <c r="L571" t="str">
        <f t="shared" si="25"/>
        <v>Good</v>
      </c>
      <c r="M571" t="b">
        <f>TRUE()</f>
        <v>1</v>
      </c>
      <c r="N571" t="b">
        <f>FALSE()</f>
        <v>0</v>
      </c>
      <c r="O571" s="18" t="b">
        <f t="shared" si="26"/>
        <v>0</v>
      </c>
    </row>
    <row r="572" spans="1:15" x14ac:dyDescent="0.35">
      <c r="A572">
        <v>40913</v>
      </c>
      <c r="B572">
        <v>1674</v>
      </c>
      <c r="C572" t="s">
        <v>27</v>
      </c>
      <c r="D572" t="s">
        <v>32</v>
      </c>
      <c r="E572" t="s">
        <v>29</v>
      </c>
      <c r="F572">
        <v>10</v>
      </c>
      <c r="G572">
        <v>10000</v>
      </c>
      <c r="H572">
        <v>1871.4</v>
      </c>
      <c r="K572" t="str">
        <f t="shared" si="24"/>
        <v>1.5%</v>
      </c>
      <c r="L572" t="str">
        <f t="shared" si="25"/>
        <v>Need Improvement</v>
      </c>
      <c r="M572" t="b">
        <f>TRUE()</f>
        <v>1</v>
      </c>
      <c r="N572" t="b">
        <f>FALSE()</f>
        <v>0</v>
      </c>
      <c r="O572" s="18" t="b">
        <f t="shared" si="26"/>
        <v>0</v>
      </c>
    </row>
    <row r="573" spans="1:15" x14ac:dyDescent="0.35">
      <c r="A573">
        <v>40914</v>
      </c>
      <c r="B573">
        <v>2039</v>
      </c>
      <c r="C573" t="s">
        <v>26</v>
      </c>
      <c r="D573" t="s">
        <v>32</v>
      </c>
      <c r="E573" t="s">
        <v>25</v>
      </c>
      <c r="F573">
        <v>9</v>
      </c>
      <c r="G573">
        <v>9045</v>
      </c>
      <c r="H573">
        <v>545.95619999999997</v>
      </c>
      <c r="K573" t="str">
        <f t="shared" si="24"/>
        <v>2.5%</v>
      </c>
      <c r="L573" t="str">
        <f t="shared" si="25"/>
        <v>Need Improvement</v>
      </c>
      <c r="M573" t="b">
        <f>TRUE()</f>
        <v>1</v>
      </c>
      <c r="N573" t="b">
        <f>FALSE()</f>
        <v>0</v>
      </c>
      <c r="O573" s="18" t="b">
        <f t="shared" si="26"/>
        <v>0</v>
      </c>
    </row>
    <row r="574" spans="1:15" x14ac:dyDescent="0.35">
      <c r="A574">
        <v>40915</v>
      </c>
      <c r="B574">
        <v>1675</v>
      </c>
      <c r="C574" t="s">
        <v>23</v>
      </c>
      <c r="D574" t="s">
        <v>32</v>
      </c>
      <c r="E574" t="s">
        <v>29</v>
      </c>
      <c r="F574">
        <v>10</v>
      </c>
      <c r="G574">
        <v>10800</v>
      </c>
      <c r="H574">
        <v>5366.25</v>
      </c>
      <c r="K574" t="str">
        <f t="shared" si="24"/>
        <v>5%</v>
      </c>
      <c r="L574" t="str">
        <f t="shared" si="25"/>
        <v>Good</v>
      </c>
      <c r="M574" t="b">
        <f>TRUE()</f>
        <v>1</v>
      </c>
      <c r="N574" t="b">
        <f>FALSE()</f>
        <v>0</v>
      </c>
      <c r="O574" s="18" t="b">
        <f t="shared" si="26"/>
        <v>0</v>
      </c>
    </row>
    <row r="575" spans="1:15" x14ac:dyDescent="0.35">
      <c r="A575">
        <v>40916</v>
      </c>
      <c r="B575">
        <v>2040</v>
      </c>
      <c r="C575" t="s">
        <v>27</v>
      </c>
      <c r="D575" t="s">
        <v>32</v>
      </c>
      <c r="E575" t="s">
        <v>28</v>
      </c>
      <c r="F575">
        <v>8</v>
      </c>
      <c r="G575">
        <v>9248</v>
      </c>
      <c r="H575">
        <v>985.14319999999998</v>
      </c>
      <c r="K575" t="str">
        <f t="shared" si="24"/>
        <v>2.5%</v>
      </c>
      <c r="L575" t="str">
        <f t="shared" si="25"/>
        <v>Need Improvement</v>
      </c>
      <c r="M575" t="b">
        <f>TRUE()</f>
        <v>1</v>
      </c>
      <c r="N575" t="b">
        <f>FALSE()</f>
        <v>0</v>
      </c>
      <c r="O575" s="18" t="b">
        <f t="shared" si="26"/>
        <v>0</v>
      </c>
    </row>
    <row r="576" spans="1:15" x14ac:dyDescent="0.35">
      <c r="A576">
        <v>40917</v>
      </c>
      <c r="B576">
        <v>1676</v>
      </c>
      <c r="C576" t="s">
        <v>26</v>
      </c>
      <c r="D576" t="s">
        <v>32</v>
      </c>
      <c r="E576" t="s">
        <v>29</v>
      </c>
      <c r="F576">
        <v>8</v>
      </c>
      <c r="G576">
        <v>4496</v>
      </c>
      <c r="H576">
        <v>2526.9767999999995</v>
      </c>
      <c r="K576" t="str">
        <f t="shared" si="24"/>
        <v>1.5%</v>
      </c>
      <c r="L576" t="str">
        <f t="shared" si="25"/>
        <v>Need Improvement</v>
      </c>
      <c r="M576" t="b">
        <f>TRUE()</f>
        <v>1</v>
      </c>
      <c r="N576" t="b">
        <f>FALSE()</f>
        <v>0</v>
      </c>
      <c r="O576" s="18" t="b">
        <f t="shared" si="26"/>
        <v>0</v>
      </c>
    </row>
    <row r="577" spans="1:15" x14ac:dyDescent="0.35">
      <c r="A577">
        <v>40918</v>
      </c>
      <c r="B577">
        <v>2041</v>
      </c>
      <c r="C577" t="s">
        <v>23</v>
      </c>
      <c r="D577" t="s">
        <v>32</v>
      </c>
      <c r="E577" t="s">
        <v>28</v>
      </c>
      <c r="F577">
        <v>9</v>
      </c>
      <c r="G577">
        <v>7074</v>
      </c>
      <c r="H577">
        <v>3631.6147499999997</v>
      </c>
      <c r="K577" t="str">
        <f t="shared" si="24"/>
        <v>2.5%</v>
      </c>
      <c r="L577" t="str">
        <f t="shared" si="25"/>
        <v>Need Improvement</v>
      </c>
      <c r="M577" t="b">
        <f>TRUE()</f>
        <v>1</v>
      </c>
      <c r="N577" t="b">
        <f>FALSE()</f>
        <v>0</v>
      </c>
      <c r="O577" s="18" t="b">
        <f t="shared" si="26"/>
        <v>0</v>
      </c>
    </row>
    <row r="578" spans="1:15" x14ac:dyDescent="0.35">
      <c r="A578">
        <v>40919</v>
      </c>
      <c r="B578">
        <v>1677</v>
      </c>
      <c r="C578" t="s">
        <v>27</v>
      </c>
      <c r="D578" t="s">
        <v>32</v>
      </c>
      <c r="E578" t="s">
        <v>25</v>
      </c>
      <c r="F578">
        <v>6</v>
      </c>
      <c r="G578">
        <v>2223</v>
      </c>
      <c r="H578">
        <v>1443.1716000000001</v>
      </c>
      <c r="K578" t="str">
        <f t="shared" si="24"/>
        <v>1.5%</v>
      </c>
      <c r="L578" t="str">
        <f t="shared" si="25"/>
        <v>Need Improvement</v>
      </c>
      <c r="M578" t="b">
        <f>TRUE()</f>
        <v>1</v>
      </c>
      <c r="N578" t="b">
        <f>FALSE()</f>
        <v>0</v>
      </c>
      <c r="O578" s="18" t="b">
        <f t="shared" si="26"/>
        <v>0</v>
      </c>
    </row>
    <row r="579" spans="1:15" x14ac:dyDescent="0.35">
      <c r="A579">
        <v>40920</v>
      </c>
      <c r="B579">
        <v>2042</v>
      </c>
      <c r="C579" t="s">
        <v>26</v>
      </c>
      <c r="D579" t="s">
        <v>32</v>
      </c>
      <c r="E579" t="s">
        <v>28</v>
      </c>
      <c r="F579">
        <v>10</v>
      </c>
      <c r="G579">
        <v>1920</v>
      </c>
      <c r="H579">
        <v>1381.248</v>
      </c>
      <c r="K579" t="str">
        <f t="shared" ref="K579:K642" si="27">IF(G579&gt;10000,"5%",IF(AND(G579&gt;=5000,G579&lt;10000),"2.5%","1.5%"))</f>
        <v>1.5%</v>
      </c>
      <c r="L579" t="str">
        <f t="shared" ref="L579:L642" si="28">IF(OR(G579&gt;10000,H579&gt;=5000),"Good","Need Improvement")</f>
        <v>Need Improvement</v>
      </c>
      <c r="M579" t="b">
        <f>TRUE()</f>
        <v>1</v>
      </c>
      <c r="N579" t="b">
        <f>FALSE()</f>
        <v>0</v>
      </c>
      <c r="O579" s="18" t="b">
        <f t="shared" ref="O579:O642" si="29">NOT(M579)</f>
        <v>0</v>
      </c>
    </row>
    <row r="580" spans="1:15" x14ac:dyDescent="0.35">
      <c r="A580">
        <v>40921</v>
      </c>
      <c r="B580">
        <v>1678</v>
      </c>
      <c r="C580" t="s">
        <v>23</v>
      </c>
      <c r="D580" t="s">
        <v>32</v>
      </c>
      <c r="E580" t="s">
        <v>25</v>
      </c>
      <c r="F580">
        <v>9</v>
      </c>
      <c r="G580">
        <v>4428</v>
      </c>
      <c r="H580">
        <v>2357.2458000000001</v>
      </c>
      <c r="K580" t="str">
        <f t="shared" si="27"/>
        <v>1.5%</v>
      </c>
      <c r="L580" t="str">
        <f t="shared" si="28"/>
        <v>Need Improvement</v>
      </c>
      <c r="M580" t="b">
        <f>TRUE()</f>
        <v>1</v>
      </c>
      <c r="N580" t="b">
        <f>FALSE()</f>
        <v>0</v>
      </c>
      <c r="O580" s="18" t="b">
        <f t="shared" si="29"/>
        <v>0</v>
      </c>
    </row>
    <row r="581" spans="1:15" x14ac:dyDescent="0.35">
      <c r="A581">
        <v>40922</v>
      </c>
      <c r="B581">
        <v>2043</v>
      </c>
      <c r="C581" t="s">
        <v>27</v>
      </c>
      <c r="D581" t="s">
        <v>32</v>
      </c>
      <c r="E581" t="s">
        <v>29</v>
      </c>
      <c r="F581">
        <v>9</v>
      </c>
      <c r="G581">
        <v>3834</v>
      </c>
      <c r="H581">
        <v>2080.7118</v>
      </c>
      <c r="K581" t="str">
        <f t="shared" si="27"/>
        <v>1.5%</v>
      </c>
      <c r="L581" t="str">
        <f t="shared" si="28"/>
        <v>Need Improvement</v>
      </c>
      <c r="M581" t="b">
        <f>TRUE()</f>
        <v>1</v>
      </c>
      <c r="N581" t="b">
        <f>FALSE()</f>
        <v>0</v>
      </c>
      <c r="O581" s="18" t="b">
        <f t="shared" si="29"/>
        <v>0</v>
      </c>
    </row>
    <row r="582" spans="1:15" x14ac:dyDescent="0.35">
      <c r="A582">
        <v>40923</v>
      </c>
      <c r="B582">
        <v>1679</v>
      </c>
      <c r="C582" t="s">
        <v>26</v>
      </c>
      <c r="D582" t="s">
        <v>32</v>
      </c>
      <c r="E582" t="s">
        <v>25</v>
      </c>
      <c r="F582">
        <v>8</v>
      </c>
      <c r="G582">
        <v>7704</v>
      </c>
      <c r="H582">
        <v>1808.5139999999999</v>
      </c>
      <c r="K582" t="str">
        <f t="shared" si="27"/>
        <v>2.5%</v>
      </c>
      <c r="L582" t="str">
        <f t="shared" si="28"/>
        <v>Need Improvement</v>
      </c>
      <c r="M582" t="b">
        <f>TRUE()</f>
        <v>1</v>
      </c>
      <c r="N582" t="b">
        <f>FALSE()</f>
        <v>0</v>
      </c>
      <c r="O582" s="18" t="b">
        <f t="shared" si="29"/>
        <v>0</v>
      </c>
    </row>
    <row r="583" spans="1:15" x14ac:dyDescent="0.35">
      <c r="A583">
        <v>40924</v>
      </c>
      <c r="B583">
        <v>2044</v>
      </c>
      <c r="C583" t="s">
        <v>23</v>
      </c>
      <c r="D583" t="s">
        <v>32</v>
      </c>
      <c r="E583" t="s">
        <v>29</v>
      </c>
      <c r="F583">
        <v>7</v>
      </c>
      <c r="G583">
        <v>4788</v>
      </c>
      <c r="H583">
        <v>3173.6459999999997</v>
      </c>
      <c r="K583" t="str">
        <f t="shared" si="27"/>
        <v>1.5%</v>
      </c>
      <c r="L583" t="str">
        <f t="shared" si="28"/>
        <v>Need Improvement</v>
      </c>
      <c r="M583" t="b">
        <f>TRUE()</f>
        <v>1</v>
      </c>
      <c r="N583" t="b">
        <f>FALSE()</f>
        <v>0</v>
      </c>
      <c r="O583" s="18" t="b">
        <f t="shared" si="29"/>
        <v>0</v>
      </c>
    </row>
    <row r="584" spans="1:15" x14ac:dyDescent="0.35">
      <c r="A584">
        <v>40925</v>
      </c>
      <c r="B584">
        <v>1680</v>
      </c>
      <c r="C584" t="s">
        <v>27</v>
      </c>
      <c r="D584" t="s">
        <v>32</v>
      </c>
      <c r="E584" t="s">
        <v>28</v>
      </c>
      <c r="F584">
        <v>8</v>
      </c>
      <c r="G584">
        <v>6696</v>
      </c>
      <c r="H584">
        <v>1755.2447999999999</v>
      </c>
      <c r="K584" t="str">
        <f t="shared" si="27"/>
        <v>2.5%</v>
      </c>
      <c r="L584" t="str">
        <f t="shared" si="28"/>
        <v>Need Improvement</v>
      </c>
      <c r="M584" t="b">
        <f>TRUE()</f>
        <v>1</v>
      </c>
      <c r="N584" t="b">
        <f>FALSE()</f>
        <v>0</v>
      </c>
      <c r="O584" s="18" t="b">
        <f t="shared" si="29"/>
        <v>0</v>
      </c>
    </row>
    <row r="585" spans="1:15" x14ac:dyDescent="0.35">
      <c r="A585">
        <v>40926</v>
      </c>
      <c r="B585">
        <v>2045</v>
      </c>
      <c r="C585" t="s">
        <v>26</v>
      </c>
      <c r="D585" t="s">
        <v>32</v>
      </c>
      <c r="E585" t="s">
        <v>29</v>
      </c>
      <c r="F585">
        <v>10</v>
      </c>
      <c r="G585">
        <v>4500</v>
      </c>
      <c r="H585">
        <v>1598.4</v>
      </c>
      <c r="K585" t="str">
        <f t="shared" si="27"/>
        <v>1.5%</v>
      </c>
      <c r="L585" t="str">
        <f t="shared" si="28"/>
        <v>Need Improvement</v>
      </c>
      <c r="M585" t="b">
        <f>TRUE()</f>
        <v>1</v>
      </c>
      <c r="N585" t="b">
        <f>FALSE()</f>
        <v>0</v>
      </c>
      <c r="O585" s="18" t="b">
        <f t="shared" si="29"/>
        <v>0</v>
      </c>
    </row>
    <row r="586" spans="1:15" x14ac:dyDescent="0.35">
      <c r="A586">
        <v>40927</v>
      </c>
      <c r="B586">
        <v>1681</v>
      </c>
      <c r="C586" t="s">
        <v>23</v>
      </c>
      <c r="D586" t="s">
        <v>32</v>
      </c>
      <c r="E586" t="s">
        <v>28</v>
      </c>
      <c r="F586">
        <v>8</v>
      </c>
      <c r="G586">
        <v>11280</v>
      </c>
      <c r="H586">
        <v>3959.2799999999997</v>
      </c>
      <c r="K586" t="str">
        <f t="shared" si="27"/>
        <v>5%</v>
      </c>
      <c r="L586" t="str">
        <f t="shared" si="28"/>
        <v>Good</v>
      </c>
      <c r="M586" t="b">
        <f>TRUE()</f>
        <v>1</v>
      </c>
      <c r="N586" t="b">
        <f>FALSE()</f>
        <v>0</v>
      </c>
      <c r="O586" s="18" t="b">
        <f t="shared" si="29"/>
        <v>0</v>
      </c>
    </row>
    <row r="587" spans="1:15" x14ac:dyDescent="0.35">
      <c r="A587">
        <v>40928</v>
      </c>
      <c r="B587">
        <v>1682</v>
      </c>
      <c r="C587" t="s">
        <v>26</v>
      </c>
      <c r="D587" t="s">
        <v>32</v>
      </c>
      <c r="E587" t="s">
        <v>28</v>
      </c>
      <c r="F587">
        <v>10</v>
      </c>
      <c r="G587">
        <v>8175</v>
      </c>
      <c r="H587">
        <v>2451.846</v>
      </c>
      <c r="K587" t="str">
        <f t="shared" si="27"/>
        <v>2.5%</v>
      </c>
      <c r="L587" t="str">
        <f t="shared" si="28"/>
        <v>Need Improvement</v>
      </c>
      <c r="M587" t="b">
        <f>TRUE()</f>
        <v>1</v>
      </c>
      <c r="N587" t="b">
        <f>FALSE()</f>
        <v>0</v>
      </c>
      <c r="O587" s="18" t="b">
        <f t="shared" si="29"/>
        <v>0</v>
      </c>
    </row>
    <row r="588" spans="1:15" x14ac:dyDescent="0.35">
      <c r="A588">
        <v>40929</v>
      </c>
      <c r="B588">
        <v>1683</v>
      </c>
      <c r="C588" t="s">
        <v>27</v>
      </c>
      <c r="D588" t="s">
        <v>32</v>
      </c>
      <c r="E588" t="s">
        <v>29</v>
      </c>
      <c r="F588">
        <v>8</v>
      </c>
      <c r="G588">
        <v>6912</v>
      </c>
      <c r="H588">
        <v>3209.0111999999999</v>
      </c>
      <c r="K588" t="str">
        <f t="shared" si="27"/>
        <v>2.5%</v>
      </c>
      <c r="L588" t="str">
        <f t="shared" si="28"/>
        <v>Need Improvement</v>
      </c>
      <c r="M588" t="b">
        <f>TRUE()</f>
        <v>1</v>
      </c>
      <c r="N588" t="b">
        <f>FALSE()</f>
        <v>0</v>
      </c>
      <c r="O588" s="18" t="b">
        <f t="shared" si="29"/>
        <v>0</v>
      </c>
    </row>
    <row r="589" spans="1:15" x14ac:dyDescent="0.35">
      <c r="A589">
        <v>40930</v>
      </c>
      <c r="B589">
        <v>1684</v>
      </c>
      <c r="C589" t="s">
        <v>23</v>
      </c>
      <c r="D589" t="s">
        <v>32</v>
      </c>
      <c r="E589" t="s">
        <v>29</v>
      </c>
      <c r="F589">
        <v>10</v>
      </c>
      <c r="G589">
        <v>9525</v>
      </c>
      <c r="H589">
        <v>3088.9575000000004</v>
      </c>
      <c r="K589" t="str">
        <f t="shared" si="27"/>
        <v>2.5%</v>
      </c>
      <c r="L589" t="str">
        <f t="shared" si="28"/>
        <v>Need Improvement</v>
      </c>
      <c r="M589" t="b">
        <f>TRUE()</f>
        <v>1</v>
      </c>
      <c r="N589" t="b">
        <f>FALSE()</f>
        <v>0</v>
      </c>
      <c r="O589" s="18" t="b">
        <f t="shared" si="29"/>
        <v>0</v>
      </c>
    </row>
    <row r="590" spans="1:15" x14ac:dyDescent="0.35">
      <c r="A590">
        <v>40931</v>
      </c>
      <c r="B590">
        <v>1685</v>
      </c>
      <c r="C590" t="s">
        <v>26</v>
      </c>
      <c r="D590" t="s">
        <v>32</v>
      </c>
      <c r="E590" t="s">
        <v>29</v>
      </c>
      <c r="F590">
        <v>10</v>
      </c>
      <c r="G590">
        <v>8955</v>
      </c>
      <c r="H590">
        <v>1049.2275</v>
      </c>
      <c r="K590" t="str">
        <f t="shared" si="27"/>
        <v>2.5%</v>
      </c>
      <c r="L590" t="str">
        <f t="shared" si="28"/>
        <v>Need Improvement</v>
      </c>
      <c r="M590" t="b">
        <f>TRUE()</f>
        <v>1</v>
      </c>
      <c r="N590" t="b">
        <f>FALSE()</f>
        <v>0</v>
      </c>
      <c r="O590" s="18" t="b">
        <f t="shared" si="29"/>
        <v>0</v>
      </c>
    </row>
    <row r="591" spans="1:15" x14ac:dyDescent="0.35">
      <c r="A591">
        <v>40932</v>
      </c>
      <c r="B591">
        <v>2055</v>
      </c>
      <c r="C591" t="s">
        <v>27</v>
      </c>
      <c r="D591" t="s">
        <v>32</v>
      </c>
      <c r="E591" t="s">
        <v>25</v>
      </c>
      <c r="F591">
        <v>10</v>
      </c>
      <c r="G591">
        <v>10100</v>
      </c>
      <c r="H591">
        <v>1452.7839999999999</v>
      </c>
      <c r="K591" t="str">
        <f t="shared" si="27"/>
        <v>5%</v>
      </c>
      <c r="L591" t="str">
        <f t="shared" si="28"/>
        <v>Good</v>
      </c>
      <c r="M591" t="b">
        <f>TRUE()</f>
        <v>1</v>
      </c>
      <c r="N591" t="b">
        <f>FALSE()</f>
        <v>0</v>
      </c>
      <c r="O591" s="18" t="b">
        <f t="shared" si="29"/>
        <v>0</v>
      </c>
    </row>
    <row r="592" spans="1:15" x14ac:dyDescent="0.35">
      <c r="A592">
        <v>40933</v>
      </c>
      <c r="B592">
        <v>2056</v>
      </c>
      <c r="C592" t="s">
        <v>23</v>
      </c>
      <c r="D592" t="s">
        <v>32</v>
      </c>
      <c r="E592" t="s">
        <v>25</v>
      </c>
      <c r="F592">
        <v>10</v>
      </c>
      <c r="G592">
        <v>8280</v>
      </c>
      <c r="H592">
        <v>3417.57</v>
      </c>
      <c r="K592" t="str">
        <f t="shared" si="27"/>
        <v>2.5%</v>
      </c>
      <c r="L592" t="str">
        <f t="shared" si="28"/>
        <v>Need Improvement</v>
      </c>
      <c r="M592" t="b">
        <f>TRUE()</f>
        <v>1</v>
      </c>
      <c r="N592" t="b">
        <f>FALSE()</f>
        <v>0</v>
      </c>
      <c r="O592" s="18" t="b">
        <f t="shared" si="29"/>
        <v>0</v>
      </c>
    </row>
    <row r="593" spans="1:15" x14ac:dyDescent="0.35">
      <c r="A593">
        <v>40934</v>
      </c>
      <c r="B593">
        <v>2057</v>
      </c>
      <c r="C593" t="s">
        <v>26</v>
      </c>
      <c r="D593" t="s">
        <v>32</v>
      </c>
      <c r="E593" t="s">
        <v>25</v>
      </c>
      <c r="F593">
        <v>9</v>
      </c>
      <c r="G593">
        <v>6831</v>
      </c>
      <c r="H593">
        <v>4264.8209999999999</v>
      </c>
      <c r="K593" t="str">
        <f t="shared" si="27"/>
        <v>2.5%</v>
      </c>
      <c r="L593" t="str">
        <f t="shared" si="28"/>
        <v>Need Improvement</v>
      </c>
      <c r="M593" t="b">
        <f>TRUE()</f>
        <v>1</v>
      </c>
      <c r="N593" t="b">
        <f>FALSE()</f>
        <v>0</v>
      </c>
      <c r="O593" s="18" t="b">
        <f t="shared" si="29"/>
        <v>0</v>
      </c>
    </row>
    <row r="594" spans="1:15" x14ac:dyDescent="0.35">
      <c r="A594">
        <v>40935</v>
      </c>
      <c r="B594">
        <v>2058</v>
      </c>
      <c r="C594" t="s">
        <v>27</v>
      </c>
      <c r="D594" t="s">
        <v>32</v>
      </c>
      <c r="E594" t="s">
        <v>28</v>
      </c>
      <c r="F594">
        <v>6</v>
      </c>
      <c r="G594">
        <v>1444.5</v>
      </c>
      <c r="H594">
        <v>1412.721</v>
      </c>
      <c r="K594" t="str">
        <f t="shared" si="27"/>
        <v>1.5%</v>
      </c>
      <c r="L594" t="str">
        <f t="shared" si="28"/>
        <v>Need Improvement</v>
      </c>
      <c r="M594" t="b">
        <f>TRUE()</f>
        <v>1</v>
      </c>
      <c r="N594" t="b">
        <f>FALSE()</f>
        <v>0</v>
      </c>
      <c r="O594" s="18" t="b">
        <f t="shared" si="29"/>
        <v>0</v>
      </c>
    </row>
    <row r="595" spans="1:15" x14ac:dyDescent="0.35">
      <c r="A595">
        <v>40936</v>
      </c>
      <c r="B595">
        <v>2059</v>
      </c>
      <c r="C595" t="s">
        <v>23</v>
      </c>
      <c r="D595" t="s">
        <v>32</v>
      </c>
      <c r="E595" t="s">
        <v>28</v>
      </c>
      <c r="F595">
        <v>8</v>
      </c>
      <c r="G595">
        <v>8688</v>
      </c>
      <c r="H595">
        <v>1366.6224</v>
      </c>
      <c r="K595" t="str">
        <f t="shared" si="27"/>
        <v>2.5%</v>
      </c>
      <c r="L595" t="str">
        <f t="shared" si="28"/>
        <v>Need Improvement</v>
      </c>
      <c r="M595" t="b">
        <f>TRUE()</f>
        <v>1</v>
      </c>
      <c r="N595" t="b">
        <f>FALSE()</f>
        <v>0</v>
      </c>
      <c r="O595" s="18" t="b">
        <f t="shared" si="29"/>
        <v>0</v>
      </c>
    </row>
    <row r="596" spans="1:15" x14ac:dyDescent="0.35">
      <c r="A596">
        <v>40937</v>
      </c>
      <c r="B596">
        <v>1695</v>
      </c>
      <c r="C596" t="s">
        <v>27</v>
      </c>
      <c r="D596" t="s">
        <v>32</v>
      </c>
      <c r="E596" t="s">
        <v>25</v>
      </c>
      <c r="F596">
        <v>10</v>
      </c>
      <c r="G596">
        <v>4545</v>
      </c>
      <c r="H596">
        <v>1736.19</v>
      </c>
      <c r="K596" t="str">
        <f t="shared" si="27"/>
        <v>1.5%</v>
      </c>
      <c r="L596" t="str">
        <f t="shared" si="28"/>
        <v>Need Improvement</v>
      </c>
      <c r="M596" t="b">
        <f>TRUE()</f>
        <v>1</v>
      </c>
      <c r="N596" t="b">
        <f>FALSE()</f>
        <v>0</v>
      </c>
      <c r="O596" s="18" t="b">
        <f t="shared" si="29"/>
        <v>0</v>
      </c>
    </row>
    <row r="597" spans="1:15" x14ac:dyDescent="0.35">
      <c r="A597">
        <v>40938</v>
      </c>
      <c r="B597">
        <v>2060</v>
      </c>
      <c r="C597" t="s">
        <v>26</v>
      </c>
      <c r="D597" t="s">
        <v>32</v>
      </c>
      <c r="E597" t="s">
        <v>28</v>
      </c>
      <c r="F597">
        <v>6</v>
      </c>
      <c r="G597">
        <v>7605</v>
      </c>
      <c r="H597">
        <v>948.7998</v>
      </c>
      <c r="K597" t="str">
        <f t="shared" si="27"/>
        <v>2.5%</v>
      </c>
      <c r="L597" t="str">
        <f t="shared" si="28"/>
        <v>Need Improvement</v>
      </c>
      <c r="M597" t="b">
        <f>TRUE()</f>
        <v>1</v>
      </c>
      <c r="N597" t="b">
        <f>FALSE()</f>
        <v>0</v>
      </c>
      <c r="O597" s="18" t="b">
        <f t="shared" si="29"/>
        <v>0</v>
      </c>
    </row>
    <row r="598" spans="1:15" x14ac:dyDescent="0.35">
      <c r="A598">
        <v>40939</v>
      </c>
      <c r="B598">
        <v>1696</v>
      </c>
      <c r="C598" t="s">
        <v>23</v>
      </c>
      <c r="D598" t="s">
        <v>32</v>
      </c>
      <c r="E598" t="s">
        <v>25</v>
      </c>
      <c r="F598">
        <v>9</v>
      </c>
      <c r="G598">
        <v>2497.5</v>
      </c>
      <c r="H598">
        <v>1824.6735000000001</v>
      </c>
      <c r="K598" t="str">
        <f t="shared" si="27"/>
        <v>1.5%</v>
      </c>
      <c r="L598" t="str">
        <f t="shared" si="28"/>
        <v>Need Improvement</v>
      </c>
      <c r="M598" t="b">
        <f>TRUE()</f>
        <v>1</v>
      </c>
      <c r="N598" t="b">
        <f>FALSE()</f>
        <v>0</v>
      </c>
      <c r="O598" s="18" t="b">
        <f t="shared" si="29"/>
        <v>0</v>
      </c>
    </row>
    <row r="599" spans="1:15" x14ac:dyDescent="0.35">
      <c r="A599">
        <v>40940</v>
      </c>
      <c r="B599">
        <v>2061</v>
      </c>
      <c r="C599" t="s">
        <v>27</v>
      </c>
      <c r="D599" t="s">
        <v>32</v>
      </c>
      <c r="E599" t="s">
        <v>29</v>
      </c>
      <c r="F599">
        <v>9</v>
      </c>
      <c r="G599">
        <v>12510</v>
      </c>
      <c r="H599">
        <v>754.35299999999995</v>
      </c>
      <c r="K599" t="str">
        <f t="shared" si="27"/>
        <v>5%</v>
      </c>
      <c r="L599" t="str">
        <f t="shared" si="28"/>
        <v>Good</v>
      </c>
      <c r="M599" t="b">
        <f>TRUE()</f>
        <v>1</v>
      </c>
      <c r="N599" t="b">
        <f>FALSE()</f>
        <v>0</v>
      </c>
      <c r="O599" s="18" t="b">
        <f t="shared" si="29"/>
        <v>0</v>
      </c>
    </row>
    <row r="600" spans="1:15" x14ac:dyDescent="0.35">
      <c r="A600">
        <v>40941</v>
      </c>
      <c r="B600">
        <v>1697</v>
      </c>
      <c r="C600" t="s">
        <v>26</v>
      </c>
      <c r="D600" t="s">
        <v>32</v>
      </c>
      <c r="E600" t="s">
        <v>25</v>
      </c>
      <c r="F600">
        <v>7</v>
      </c>
      <c r="G600">
        <v>2404.5</v>
      </c>
      <c r="H600">
        <v>1045.4766</v>
      </c>
      <c r="K600" t="str">
        <f t="shared" si="27"/>
        <v>1.5%</v>
      </c>
      <c r="L600" t="str">
        <f t="shared" si="28"/>
        <v>Need Improvement</v>
      </c>
      <c r="M600" t="b">
        <f>TRUE()</f>
        <v>1</v>
      </c>
      <c r="N600" t="b">
        <f>FALSE()</f>
        <v>0</v>
      </c>
      <c r="O600" s="18" t="b">
        <f t="shared" si="29"/>
        <v>0</v>
      </c>
    </row>
    <row r="601" spans="1:15" x14ac:dyDescent="0.35">
      <c r="A601">
        <v>40942</v>
      </c>
      <c r="B601">
        <v>2062</v>
      </c>
      <c r="C601" t="s">
        <v>23</v>
      </c>
      <c r="D601" t="s">
        <v>32</v>
      </c>
      <c r="E601" t="s">
        <v>29</v>
      </c>
      <c r="F601">
        <v>9</v>
      </c>
      <c r="G601">
        <v>10665</v>
      </c>
      <c r="H601">
        <v>868.13099999999986</v>
      </c>
      <c r="K601" t="str">
        <f t="shared" si="27"/>
        <v>5%</v>
      </c>
      <c r="L601" t="str">
        <f t="shared" si="28"/>
        <v>Good</v>
      </c>
      <c r="M601" t="b">
        <f>TRUE()</f>
        <v>1</v>
      </c>
      <c r="N601" t="b">
        <f>FALSE()</f>
        <v>0</v>
      </c>
      <c r="O601" s="18" t="b">
        <f t="shared" si="29"/>
        <v>0</v>
      </c>
    </row>
    <row r="602" spans="1:15" x14ac:dyDescent="0.35">
      <c r="A602">
        <v>40943</v>
      </c>
      <c r="B602">
        <v>1698</v>
      </c>
      <c r="C602" t="s">
        <v>27</v>
      </c>
      <c r="D602" t="s">
        <v>32</v>
      </c>
      <c r="E602" t="s">
        <v>28</v>
      </c>
      <c r="F602">
        <v>7</v>
      </c>
      <c r="G602">
        <v>1685.25</v>
      </c>
      <c r="H602">
        <v>1372.4675999999999</v>
      </c>
      <c r="K602" t="str">
        <f t="shared" si="27"/>
        <v>1.5%</v>
      </c>
      <c r="L602" t="str">
        <f t="shared" si="28"/>
        <v>Need Improvement</v>
      </c>
      <c r="M602" t="b">
        <f>TRUE()</f>
        <v>1</v>
      </c>
      <c r="N602" t="b">
        <f>FALSE()</f>
        <v>0</v>
      </c>
      <c r="O602" s="18" t="b">
        <f t="shared" si="29"/>
        <v>0</v>
      </c>
    </row>
    <row r="603" spans="1:15" x14ac:dyDescent="0.35">
      <c r="A603">
        <v>40944</v>
      </c>
      <c r="B603">
        <v>2063</v>
      </c>
      <c r="C603" t="s">
        <v>26</v>
      </c>
      <c r="D603" t="s">
        <v>32</v>
      </c>
      <c r="E603" t="s">
        <v>29</v>
      </c>
      <c r="F603">
        <v>9</v>
      </c>
      <c r="G603">
        <v>10692</v>
      </c>
      <c r="H603">
        <v>2301.453</v>
      </c>
      <c r="K603" t="str">
        <f t="shared" si="27"/>
        <v>5%</v>
      </c>
      <c r="L603" t="str">
        <f t="shared" si="28"/>
        <v>Good</v>
      </c>
      <c r="M603" t="b">
        <f>TRUE()</f>
        <v>1</v>
      </c>
      <c r="N603" t="b">
        <f>FALSE()</f>
        <v>0</v>
      </c>
      <c r="O603" s="18" t="b">
        <f t="shared" si="29"/>
        <v>0</v>
      </c>
    </row>
    <row r="604" spans="1:15" x14ac:dyDescent="0.35">
      <c r="A604">
        <v>40945</v>
      </c>
      <c r="B604">
        <v>1699</v>
      </c>
      <c r="C604" t="s">
        <v>23</v>
      </c>
      <c r="D604" t="s">
        <v>32</v>
      </c>
      <c r="E604" t="s">
        <v>28</v>
      </c>
      <c r="F604">
        <v>8</v>
      </c>
      <c r="G604">
        <v>1512</v>
      </c>
      <c r="H604">
        <v>1312.4159999999999</v>
      </c>
      <c r="K604" t="str">
        <f t="shared" si="27"/>
        <v>1.5%</v>
      </c>
      <c r="L604" t="str">
        <f t="shared" si="28"/>
        <v>Need Improvement</v>
      </c>
      <c r="M604" t="b">
        <f>TRUE()</f>
        <v>1</v>
      </c>
      <c r="N604" t="b">
        <f>FALSE()</f>
        <v>0</v>
      </c>
      <c r="O604" s="18" t="b">
        <f t="shared" si="29"/>
        <v>0</v>
      </c>
    </row>
    <row r="605" spans="1:15" x14ac:dyDescent="0.35">
      <c r="A605">
        <v>40946</v>
      </c>
      <c r="B605">
        <v>2064</v>
      </c>
      <c r="C605" t="s">
        <v>27</v>
      </c>
      <c r="D605" t="s">
        <v>32</v>
      </c>
      <c r="E605" t="s">
        <v>25</v>
      </c>
      <c r="F605">
        <v>8</v>
      </c>
      <c r="G605">
        <v>4428</v>
      </c>
      <c r="H605">
        <v>3605.4989999999998</v>
      </c>
      <c r="K605" t="str">
        <f t="shared" si="27"/>
        <v>1.5%</v>
      </c>
      <c r="L605" t="str">
        <f t="shared" si="28"/>
        <v>Need Improvement</v>
      </c>
      <c r="M605" t="b">
        <f>TRUE()</f>
        <v>1</v>
      </c>
      <c r="N605" t="b">
        <f>FALSE()</f>
        <v>0</v>
      </c>
      <c r="O605" s="18" t="b">
        <f t="shared" si="29"/>
        <v>0</v>
      </c>
    </row>
    <row r="606" spans="1:15" x14ac:dyDescent="0.35">
      <c r="A606">
        <v>40947</v>
      </c>
      <c r="B606">
        <v>1700</v>
      </c>
      <c r="C606" t="s">
        <v>26</v>
      </c>
      <c r="D606" t="s">
        <v>32</v>
      </c>
      <c r="E606" t="s">
        <v>28</v>
      </c>
      <c r="F606">
        <v>10</v>
      </c>
      <c r="G606">
        <v>2580</v>
      </c>
      <c r="H606">
        <v>2085.1559999999999</v>
      </c>
      <c r="K606" t="str">
        <f t="shared" si="27"/>
        <v>1.5%</v>
      </c>
      <c r="L606" t="str">
        <f t="shared" si="28"/>
        <v>Need Improvement</v>
      </c>
      <c r="M606" t="b">
        <f>TRUE()</f>
        <v>1</v>
      </c>
      <c r="N606" t="b">
        <f>FALSE()</f>
        <v>0</v>
      </c>
      <c r="O606" s="18" t="b">
        <f t="shared" si="29"/>
        <v>0</v>
      </c>
    </row>
    <row r="607" spans="1:15" x14ac:dyDescent="0.35">
      <c r="A607">
        <v>40948</v>
      </c>
      <c r="B607">
        <v>2065</v>
      </c>
      <c r="C607" t="s">
        <v>23</v>
      </c>
      <c r="D607" t="s">
        <v>32</v>
      </c>
      <c r="E607" t="s">
        <v>25</v>
      </c>
      <c r="F607">
        <v>7</v>
      </c>
      <c r="G607">
        <v>5712</v>
      </c>
      <c r="H607">
        <v>1753.0128000000002</v>
      </c>
      <c r="K607" t="str">
        <f t="shared" si="27"/>
        <v>2.5%</v>
      </c>
      <c r="L607" t="str">
        <f t="shared" si="28"/>
        <v>Need Improvement</v>
      </c>
      <c r="M607" t="b">
        <f>TRUE()</f>
        <v>1</v>
      </c>
      <c r="N607" t="b">
        <f>FALSE()</f>
        <v>0</v>
      </c>
      <c r="O607" s="18" t="b">
        <f t="shared" si="29"/>
        <v>0</v>
      </c>
    </row>
    <row r="608" spans="1:15" x14ac:dyDescent="0.35">
      <c r="A608">
        <v>40949</v>
      </c>
      <c r="B608">
        <v>1701</v>
      </c>
      <c r="C608" t="s">
        <v>27</v>
      </c>
      <c r="D608" t="s">
        <v>32</v>
      </c>
      <c r="E608" t="s">
        <v>29</v>
      </c>
      <c r="F608">
        <v>7</v>
      </c>
      <c r="G608">
        <v>8379</v>
      </c>
      <c r="H608">
        <v>4282.2275999999993</v>
      </c>
      <c r="K608" t="str">
        <f t="shared" si="27"/>
        <v>2.5%</v>
      </c>
      <c r="L608" t="str">
        <f t="shared" si="28"/>
        <v>Need Improvement</v>
      </c>
      <c r="M608" t="b">
        <f>TRUE()</f>
        <v>1</v>
      </c>
      <c r="N608" t="b">
        <f>FALSE()</f>
        <v>0</v>
      </c>
      <c r="O608" s="18" t="b">
        <f t="shared" si="29"/>
        <v>0</v>
      </c>
    </row>
    <row r="609" spans="1:15" x14ac:dyDescent="0.35">
      <c r="A609">
        <v>40950</v>
      </c>
      <c r="B609">
        <v>2066</v>
      </c>
      <c r="C609" t="s">
        <v>26</v>
      </c>
      <c r="D609" t="s">
        <v>32</v>
      </c>
      <c r="E609" t="s">
        <v>25</v>
      </c>
      <c r="F609">
        <v>7</v>
      </c>
      <c r="G609">
        <v>8662.5</v>
      </c>
      <c r="H609">
        <v>5223.4875000000002</v>
      </c>
      <c r="K609" t="str">
        <f t="shared" si="27"/>
        <v>2.5%</v>
      </c>
      <c r="L609" t="str">
        <f t="shared" si="28"/>
        <v>Good</v>
      </c>
      <c r="M609" t="b">
        <f>TRUE()</f>
        <v>1</v>
      </c>
      <c r="N609" t="b">
        <f>FALSE()</f>
        <v>0</v>
      </c>
      <c r="O609" s="18" t="b">
        <f t="shared" si="29"/>
        <v>0</v>
      </c>
    </row>
    <row r="610" spans="1:15" x14ac:dyDescent="0.35">
      <c r="A610">
        <v>40951</v>
      </c>
      <c r="B610">
        <v>1702</v>
      </c>
      <c r="C610" t="s">
        <v>23</v>
      </c>
      <c r="D610" t="s">
        <v>32</v>
      </c>
      <c r="E610" t="s">
        <v>29</v>
      </c>
      <c r="F610">
        <v>6</v>
      </c>
      <c r="G610">
        <v>12285</v>
      </c>
      <c r="H610">
        <v>4660.9290000000001</v>
      </c>
      <c r="K610" t="str">
        <f t="shared" si="27"/>
        <v>5%</v>
      </c>
      <c r="L610" t="str">
        <f t="shared" si="28"/>
        <v>Good</v>
      </c>
      <c r="M610" t="b">
        <f>TRUE()</f>
        <v>1</v>
      </c>
      <c r="N610" t="b">
        <f>FALSE()</f>
        <v>0</v>
      </c>
      <c r="O610" s="18" t="b">
        <f t="shared" si="29"/>
        <v>0</v>
      </c>
    </row>
    <row r="611" spans="1:15" x14ac:dyDescent="0.35">
      <c r="A611">
        <v>40952</v>
      </c>
      <c r="B611">
        <v>2067</v>
      </c>
      <c r="C611" t="s">
        <v>27</v>
      </c>
      <c r="D611" t="s">
        <v>32</v>
      </c>
      <c r="E611" t="s">
        <v>28</v>
      </c>
      <c r="F611">
        <v>8</v>
      </c>
      <c r="G611">
        <v>9600</v>
      </c>
      <c r="H611">
        <v>739.92000000000007</v>
      </c>
      <c r="K611" t="str">
        <f t="shared" si="27"/>
        <v>2.5%</v>
      </c>
      <c r="L611" t="str">
        <f t="shared" si="28"/>
        <v>Need Improvement</v>
      </c>
      <c r="M611" t="b">
        <f>TRUE()</f>
        <v>1</v>
      </c>
      <c r="N611" t="b">
        <f>FALSE()</f>
        <v>0</v>
      </c>
      <c r="O611" s="18" t="b">
        <f t="shared" si="29"/>
        <v>0</v>
      </c>
    </row>
    <row r="612" spans="1:15" x14ac:dyDescent="0.35">
      <c r="A612">
        <v>40953</v>
      </c>
      <c r="B612">
        <v>1703</v>
      </c>
      <c r="C612" t="s">
        <v>26</v>
      </c>
      <c r="D612" t="s">
        <v>32</v>
      </c>
      <c r="E612" t="s">
        <v>29</v>
      </c>
      <c r="F612">
        <v>10</v>
      </c>
      <c r="G612">
        <v>12825</v>
      </c>
      <c r="H612">
        <v>2907.9405000000002</v>
      </c>
      <c r="K612" t="str">
        <f t="shared" si="27"/>
        <v>5%</v>
      </c>
      <c r="L612" t="str">
        <f t="shared" si="28"/>
        <v>Good</v>
      </c>
      <c r="M612" t="b">
        <f>TRUE()</f>
        <v>1</v>
      </c>
      <c r="N612" t="b">
        <f>FALSE()</f>
        <v>0</v>
      </c>
      <c r="O612" s="18" t="b">
        <f t="shared" si="29"/>
        <v>0</v>
      </c>
    </row>
    <row r="613" spans="1:15" x14ac:dyDescent="0.35">
      <c r="A613">
        <v>40954</v>
      </c>
      <c r="B613">
        <v>2068</v>
      </c>
      <c r="C613" t="s">
        <v>23</v>
      </c>
      <c r="D613" t="s">
        <v>32</v>
      </c>
      <c r="E613" t="s">
        <v>28</v>
      </c>
      <c r="F613">
        <v>10</v>
      </c>
      <c r="G613">
        <v>6780</v>
      </c>
      <c r="H613">
        <v>2981.8440000000001</v>
      </c>
      <c r="K613" t="str">
        <f t="shared" si="27"/>
        <v>2.5%</v>
      </c>
      <c r="L613" t="str">
        <f t="shared" si="28"/>
        <v>Need Improvement</v>
      </c>
      <c r="M613" t="b">
        <f>TRUE()</f>
        <v>1</v>
      </c>
      <c r="N613" t="b">
        <f>FALSE()</f>
        <v>0</v>
      </c>
      <c r="O613" s="18" t="b">
        <f t="shared" si="29"/>
        <v>0</v>
      </c>
    </row>
    <row r="614" spans="1:15" x14ac:dyDescent="0.35">
      <c r="A614">
        <v>40955</v>
      </c>
      <c r="B614">
        <v>1704</v>
      </c>
      <c r="C614" t="s">
        <v>27</v>
      </c>
      <c r="D614" t="s">
        <v>32</v>
      </c>
      <c r="E614" t="s">
        <v>25</v>
      </c>
      <c r="F614">
        <v>10</v>
      </c>
      <c r="G614">
        <v>4420</v>
      </c>
      <c r="H614">
        <v>1985.9059999999999</v>
      </c>
      <c r="K614" t="str">
        <f t="shared" si="27"/>
        <v>1.5%</v>
      </c>
      <c r="L614" t="str">
        <f t="shared" si="28"/>
        <v>Need Improvement</v>
      </c>
      <c r="M614" t="b">
        <f>TRUE()</f>
        <v>1</v>
      </c>
      <c r="N614" t="b">
        <f>FALSE()</f>
        <v>0</v>
      </c>
      <c r="O614" s="18" t="b">
        <f t="shared" si="29"/>
        <v>0</v>
      </c>
    </row>
    <row r="615" spans="1:15" x14ac:dyDescent="0.35">
      <c r="A615">
        <v>40956</v>
      </c>
      <c r="B615">
        <v>2069</v>
      </c>
      <c r="C615" t="s">
        <v>26</v>
      </c>
      <c r="D615" t="s">
        <v>32</v>
      </c>
      <c r="E615" t="s">
        <v>28</v>
      </c>
      <c r="F615">
        <v>7</v>
      </c>
      <c r="G615">
        <v>8925</v>
      </c>
      <c r="H615">
        <v>3200.5050000000001</v>
      </c>
      <c r="K615" t="str">
        <f t="shared" si="27"/>
        <v>2.5%</v>
      </c>
      <c r="L615" t="str">
        <f t="shared" si="28"/>
        <v>Need Improvement</v>
      </c>
      <c r="M615" t="b">
        <f>TRUE()</f>
        <v>1</v>
      </c>
      <c r="N615" t="b">
        <f>FALSE()</f>
        <v>0</v>
      </c>
      <c r="O615" s="18" t="b">
        <f t="shared" si="29"/>
        <v>0</v>
      </c>
    </row>
    <row r="616" spans="1:15" x14ac:dyDescent="0.35">
      <c r="A616">
        <v>40957</v>
      </c>
      <c r="B616">
        <v>1705</v>
      </c>
      <c r="C616" t="s">
        <v>23</v>
      </c>
      <c r="D616" t="s">
        <v>32</v>
      </c>
      <c r="E616" t="s">
        <v>25</v>
      </c>
      <c r="F616">
        <v>6</v>
      </c>
      <c r="G616">
        <v>5643</v>
      </c>
      <c r="H616">
        <v>3086.3447999999999</v>
      </c>
      <c r="K616" t="str">
        <f t="shared" si="27"/>
        <v>2.5%</v>
      </c>
      <c r="L616" t="str">
        <f t="shared" si="28"/>
        <v>Need Improvement</v>
      </c>
      <c r="M616" t="b">
        <f>TRUE()</f>
        <v>1</v>
      </c>
      <c r="N616" t="b">
        <f>FALSE()</f>
        <v>0</v>
      </c>
      <c r="O616" s="18" t="b">
        <f t="shared" si="29"/>
        <v>0</v>
      </c>
    </row>
    <row r="617" spans="1:15" x14ac:dyDescent="0.35">
      <c r="A617">
        <v>40958</v>
      </c>
      <c r="B617">
        <v>2070</v>
      </c>
      <c r="C617" t="s">
        <v>27</v>
      </c>
      <c r="D617" t="s">
        <v>32</v>
      </c>
      <c r="E617" t="s">
        <v>29</v>
      </c>
      <c r="F617">
        <v>6</v>
      </c>
      <c r="G617">
        <v>3132</v>
      </c>
      <c r="H617">
        <v>1762.2197999999999</v>
      </c>
      <c r="K617" t="str">
        <f t="shared" si="27"/>
        <v>1.5%</v>
      </c>
      <c r="L617" t="str">
        <f t="shared" si="28"/>
        <v>Need Improvement</v>
      </c>
      <c r="M617" t="b">
        <f>TRUE()</f>
        <v>1</v>
      </c>
      <c r="N617" t="b">
        <f>FALSE()</f>
        <v>0</v>
      </c>
      <c r="O617" s="18" t="b">
        <f t="shared" si="29"/>
        <v>0</v>
      </c>
    </row>
    <row r="618" spans="1:15" x14ac:dyDescent="0.35">
      <c r="A618">
        <v>40959</v>
      </c>
      <c r="B618">
        <v>1706</v>
      </c>
      <c r="C618" t="s">
        <v>26</v>
      </c>
      <c r="D618" t="s">
        <v>32</v>
      </c>
      <c r="E618" t="s">
        <v>25</v>
      </c>
      <c r="F618">
        <v>10</v>
      </c>
      <c r="G618">
        <v>1830</v>
      </c>
      <c r="H618">
        <v>2663.0160000000001</v>
      </c>
      <c r="K618" t="str">
        <f t="shared" si="27"/>
        <v>1.5%</v>
      </c>
      <c r="L618" t="str">
        <f t="shared" si="28"/>
        <v>Need Improvement</v>
      </c>
      <c r="M618" t="b">
        <f>TRUE()</f>
        <v>1</v>
      </c>
      <c r="N618" t="b">
        <f>FALSE()</f>
        <v>0</v>
      </c>
      <c r="O618" s="18" t="b">
        <f t="shared" si="29"/>
        <v>0</v>
      </c>
    </row>
    <row r="619" spans="1:15" x14ac:dyDescent="0.35">
      <c r="A619">
        <v>40960</v>
      </c>
      <c r="B619">
        <v>2071</v>
      </c>
      <c r="C619" t="s">
        <v>23</v>
      </c>
      <c r="D619" t="s">
        <v>32</v>
      </c>
      <c r="E619" t="s">
        <v>29</v>
      </c>
      <c r="F619">
        <v>8</v>
      </c>
      <c r="G619">
        <v>1608</v>
      </c>
      <c r="H619">
        <v>1651.2552000000001</v>
      </c>
      <c r="K619" t="str">
        <f t="shared" si="27"/>
        <v>1.5%</v>
      </c>
      <c r="L619" t="str">
        <f t="shared" si="28"/>
        <v>Need Improvement</v>
      </c>
      <c r="M619" t="b">
        <f>TRUE()</f>
        <v>1</v>
      </c>
      <c r="N619" t="b">
        <f>FALSE()</f>
        <v>0</v>
      </c>
      <c r="O619" s="18" t="b">
        <f t="shared" si="29"/>
        <v>0</v>
      </c>
    </row>
    <row r="620" spans="1:15" x14ac:dyDescent="0.35">
      <c r="A620">
        <v>40961</v>
      </c>
      <c r="B620">
        <v>1707</v>
      </c>
      <c r="C620" t="s">
        <v>27</v>
      </c>
      <c r="D620" t="s">
        <v>32</v>
      </c>
      <c r="E620" t="s">
        <v>28</v>
      </c>
      <c r="F620">
        <v>10</v>
      </c>
      <c r="G620">
        <v>4160</v>
      </c>
      <c r="H620">
        <v>1432.288</v>
      </c>
      <c r="K620" t="str">
        <f t="shared" si="27"/>
        <v>1.5%</v>
      </c>
      <c r="L620" t="str">
        <f t="shared" si="28"/>
        <v>Need Improvement</v>
      </c>
      <c r="M620" t="b">
        <f>TRUE()</f>
        <v>1</v>
      </c>
      <c r="N620" t="b">
        <f>FALSE()</f>
        <v>0</v>
      </c>
      <c r="O620" s="18" t="b">
        <f t="shared" si="29"/>
        <v>0</v>
      </c>
    </row>
    <row r="621" spans="1:15" x14ac:dyDescent="0.35">
      <c r="A621">
        <v>40962</v>
      </c>
      <c r="B621">
        <v>2072</v>
      </c>
      <c r="C621" t="s">
        <v>26</v>
      </c>
      <c r="D621" t="s">
        <v>32</v>
      </c>
      <c r="E621" t="s">
        <v>29</v>
      </c>
      <c r="F621">
        <v>10</v>
      </c>
      <c r="G621">
        <v>8240</v>
      </c>
      <c r="H621">
        <v>1837.52</v>
      </c>
      <c r="K621" t="str">
        <f t="shared" si="27"/>
        <v>2.5%</v>
      </c>
      <c r="L621" t="str">
        <f t="shared" si="28"/>
        <v>Need Improvement</v>
      </c>
      <c r="M621" t="b">
        <f>TRUE()</f>
        <v>1</v>
      </c>
      <c r="N621" t="b">
        <f>FALSE()</f>
        <v>0</v>
      </c>
      <c r="O621" s="18" t="b">
        <f t="shared" si="29"/>
        <v>0</v>
      </c>
    </row>
    <row r="622" spans="1:15" x14ac:dyDescent="0.35">
      <c r="A622">
        <v>40963</v>
      </c>
      <c r="B622">
        <v>1708</v>
      </c>
      <c r="C622" t="s">
        <v>23</v>
      </c>
      <c r="D622" t="s">
        <v>32</v>
      </c>
      <c r="E622" t="s">
        <v>28</v>
      </c>
      <c r="F622">
        <v>8</v>
      </c>
      <c r="G622">
        <v>11040</v>
      </c>
      <c r="H622">
        <v>2812.1088</v>
      </c>
      <c r="K622" t="str">
        <f t="shared" si="27"/>
        <v>5%</v>
      </c>
      <c r="L622" t="str">
        <f t="shared" si="28"/>
        <v>Good</v>
      </c>
      <c r="M622" t="b">
        <f>TRUE()</f>
        <v>1</v>
      </c>
      <c r="N622" t="b">
        <f>FALSE()</f>
        <v>0</v>
      </c>
      <c r="O622" s="18" t="b">
        <f t="shared" si="29"/>
        <v>0</v>
      </c>
    </row>
    <row r="623" spans="1:15" x14ac:dyDescent="0.35">
      <c r="A623">
        <v>40964</v>
      </c>
      <c r="B623">
        <v>2073</v>
      </c>
      <c r="C623" t="s">
        <v>27</v>
      </c>
      <c r="D623" t="s">
        <v>32</v>
      </c>
      <c r="E623" t="s">
        <v>25</v>
      </c>
      <c r="F623">
        <v>6</v>
      </c>
      <c r="G623">
        <v>10890</v>
      </c>
      <c r="H623">
        <v>4779.621000000001</v>
      </c>
      <c r="K623" t="str">
        <f t="shared" si="27"/>
        <v>5%</v>
      </c>
      <c r="L623" t="str">
        <f t="shared" si="28"/>
        <v>Good</v>
      </c>
      <c r="M623" t="b">
        <f>TRUE()</f>
        <v>1</v>
      </c>
      <c r="N623" t="b">
        <f>FALSE()</f>
        <v>0</v>
      </c>
      <c r="O623" s="18" t="b">
        <f t="shared" si="29"/>
        <v>0</v>
      </c>
    </row>
    <row r="624" spans="1:15" x14ac:dyDescent="0.35">
      <c r="A624">
        <v>40965</v>
      </c>
      <c r="B624">
        <v>1709</v>
      </c>
      <c r="C624" t="s">
        <v>26</v>
      </c>
      <c r="D624" t="s">
        <v>32</v>
      </c>
      <c r="E624" t="s">
        <v>28</v>
      </c>
      <c r="F624">
        <v>8</v>
      </c>
      <c r="G624">
        <v>12480</v>
      </c>
      <c r="H624">
        <v>2013.2736</v>
      </c>
      <c r="K624" t="str">
        <f t="shared" si="27"/>
        <v>5%</v>
      </c>
      <c r="L624" t="str">
        <f t="shared" si="28"/>
        <v>Good</v>
      </c>
      <c r="M624" t="b">
        <f>TRUE()</f>
        <v>1</v>
      </c>
      <c r="N624" t="b">
        <f>FALSE()</f>
        <v>0</v>
      </c>
      <c r="O624" s="18" t="b">
        <f t="shared" si="29"/>
        <v>0</v>
      </c>
    </row>
    <row r="625" spans="1:15" x14ac:dyDescent="0.35">
      <c r="A625">
        <v>40966</v>
      </c>
      <c r="B625">
        <v>2074</v>
      </c>
      <c r="C625" t="s">
        <v>23</v>
      </c>
      <c r="D625" t="s">
        <v>32</v>
      </c>
      <c r="E625" t="s">
        <v>25</v>
      </c>
      <c r="F625">
        <v>6</v>
      </c>
      <c r="G625">
        <v>2196</v>
      </c>
      <c r="H625">
        <v>927.37080000000003</v>
      </c>
      <c r="K625" t="str">
        <f t="shared" si="27"/>
        <v>1.5%</v>
      </c>
      <c r="L625" t="str">
        <f t="shared" si="28"/>
        <v>Need Improvement</v>
      </c>
      <c r="M625" t="b">
        <f>TRUE()</f>
        <v>1</v>
      </c>
      <c r="N625" t="b">
        <f>FALSE()</f>
        <v>0</v>
      </c>
      <c r="O625" s="18" t="b">
        <f t="shared" si="29"/>
        <v>0</v>
      </c>
    </row>
    <row r="626" spans="1:15" x14ac:dyDescent="0.35">
      <c r="A626">
        <v>40967</v>
      </c>
      <c r="B626">
        <v>1710</v>
      </c>
      <c r="C626" t="s">
        <v>27</v>
      </c>
      <c r="D626" t="s">
        <v>32</v>
      </c>
      <c r="E626" t="s">
        <v>29</v>
      </c>
      <c r="F626">
        <v>9</v>
      </c>
      <c r="G626">
        <v>11655</v>
      </c>
      <c r="H626">
        <v>2583.2142000000003</v>
      </c>
      <c r="K626" t="str">
        <f t="shared" si="27"/>
        <v>5%</v>
      </c>
      <c r="L626" t="str">
        <f t="shared" si="28"/>
        <v>Good</v>
      </c>
      <c r="M626" t="b">
        <f>TRUE()</f>
        <v>1</v>
      </c>
      <c r="N626" t="b">
        <f>FALSE()</f>
        <v>0</v>
      </c>
      <c r="O626" s="18" t="b">
        <f t="shared" si="29"/>
        <v>0</v>
      </c>
    </row>
    <row r="627" spans="1:15" x14ac:dyDescent="0.35">
      <c r="A627">
        <v>40969</v>
      </c>
      <c r="B627">
        <v>2075</v>
      </c>
      <c r="C627" t="s">
        <v>26</v>
      </c>
      <c r="D627" t="s">
        <v>32</v>
      </c>
      <c r="E627" t="s">
        <v>25</v>
      </c>
      <c r="F627">
        <v>10</v>
      </c>
      <c r="G627">
        <v>8520</v>
      </c>
      <c r="H627">
        <v>2055.0239999999999</v>
      </c>
      <c r="K627" t="str">
        <f t="shared" si="27"/>
        <v>2.5%</v>
      </c>
      <c r="L627" t="str">
        <f t="shared" si="28"/>
        <v>Need Improvement</v>
      </c>
      <c r="M627" t="b">
        <f>TRUE()</f>
        <v>1</v>
      </c>
      <c r="N627" t="b">
        <f>FALSE()</f>
        <v>0</v>
      </c>
      <c r="O627" s="18" t="b">
        <f t="shared" si="29"/>
        <v>0</v>
      </c>
    </row>
    <row r="628" spans="1:15" x14ac:dyDescent="0.35">
      <c r="A628">
        <v>40970</v>
      </c>
      <c r="B628">
        <v>1711</v>
      </c>
      <c r="C628" t="s">
        <v>23</v>
      </c>
      <c r="D628" t="s">
        <v>32</v>
      </c>
      <c r="E628" t="s">
        <v>29</v>
      </c>
      <c r="F628">
        <v>8</v>
      </c>
      <c r="G628">
        <v>7680</v>
      </c>
      <c r="H628">
        <v>713.08799999999997</v>
      </c>
      <c r="K628" t="str">
        <f t="shared" si="27"/>
        <v>2.5%</v>
      </c>
      <c r="L628" t="str">
        <f t="shared" si="28"/>
        <v>Need Improvement</v>
      </c>
      <c r="M628" t="b">
        <f>TRUE()</f>
        <v>1</v>
      </c>
      <c r="N628" t="b">
        <f>FALSE()</f>
        <v>0</v>
      </c>
      <c r="O628" s="18" t="b">
        <f t="shared" si="29"/>
        <v>0</v>
      </c>
    </row>
    <row r="629" spans="1:15" x14ac:dyDescent="0.35">
      <c r="A629">
        <v>40971</v>
      </c>
      <c r="B629">
        <v>2076</v>
      </c>
      <c r="C629" t="s">
        <v>27</v>
      </c>
      <c r="D629" t="s">
        <v>32</v>
      </c>
      <c r="E629" t="s">
        <v>28</v>
      </c>
      <c r="F629">
        <v>9</v>
      </c>
      <c r="G629">
        <v>13050</v>
      </c>
      <c r="H629">
        <v>2082.7800000000002</v>
      </c>
      <c r="K629" t="str">
        <f t="shared" si="27"/>
        <v>5%</v>
      </c>
      <c r="L629" t="str">
        <f t="shared" si="28"/>
        <v>Good</v>
      </c>
      <c r="M629" t="b">
        <f>TRUE()</f>
        <v>1</v>
      </c>
      <c r="N629" t="b">
        <f>FALSE()</f>
        <v>0</v>
      </c>
      <c r="O629" s="18" t="b">
        <f t="shared" si="29"/>
        <v>0</v>
      </c>
    </row>
    <row r="630" spans="1:15" x14ac:dyDescent="0.35">
      <c r="A630">
        <v>40972</v>
      </c>
      <c r="B630">
        <v>1712</v>
      </c>
      <c r="C630" t="s">
        <v>26</v>
      </c>
      <c r="D630" t="s">
        <v>32</v>
      </c>
      <c r="E630" t="s">
        <v>29</v>
      </c>
      <c r="F630">
        <v>9</v>
      </c>
      <c r="G630">
        <v>11745</v>
      </c>
      <c r="H630">
        <v>871.24409999999989</v>
      </c>
      <c r="K630" t="str">
        <f t="shared" si="27"/>
        <v>5%</v>
      </c>
      <c r="L630" t="str">
        <f t="shared" si="28"/>
        <v>Good</v>
      </c>
      <c r="M630" t="b">
        <f>TRUE()</f>
        <v>1</v>
      </c>
      <c r="N630" t="b">
        <f>FALSE()</f>
        <v>0</v>
      </c>
      <c r="O630" s="18" t="b">
        <f t="shared" si="29"/>
        <v>0</v>
      </c>
    </row>
    <row r="631" spans="1:15" x14ac:dyDescent="0.35">
      <c r="A631">
        <v>40973</v>
      </c>
      <c r="B631">
        <v>2077</v>
      </c>
      <c r="C631" t="s">
        <v>23</v>
      </c>
      <c r="D631" t="s">
        <v>32</v>
      </c>
      <c r="E631" t="s">
        <v>28</v>
      </c>
      <c r="F631">
        <v>6</v>
      </c>
      <c r="G631">
        <v>13005</v>
      </c>
      <c r="H631">
        <v>2521.9295999999999</v>
      </c>
      <c r="K631" t="str">
        <f t="shared" si="27"/>
        <v>5%</v>
      </c>
      <c r="L631" t="str">
        <f t="shared" si="28"/>
        <v>Good</v>
      </c>
      <c r="M631" t="b">
        <f>TRUE()</f>
        <v>1</v>
      </c>
      <c r="N631" t="b">
        <f>FALSE()</f>
        <v>0</v>
      </c>
      <c r="O631" s="18" t="b">
        <f t="shared" si="29"/>
        <v>0</v>
      </c>
    </row>
    <row r="632" spans="1:15" x14ac:dyDescent="0.35">
      <c r="A632">
        <v>41339</v>
      </c>
      <c r="B632">
        <v>1713</v>
      </c>
      <c r="C632" t="s">
        <v>27</v>
      </c>
      <c r="D632" t="s">
        <v>32</v>
      </c>
      <c r="E632" t="s">
        <v>25</v>
      </c>
      <c r="F632">
        <v>10</v>
      </c>
      <c r="G632">
        <v>10640</v>
      </c>
      <c r="H632">
        <v>2523.2759999999998</v>
      </c>
      <c r="K632" t="str">
        <f t="shared" si="27"/>
        <v>5%</v>
      </c>
      <c r="L632" t="str">
        <f t="shared" si="28"/>
        <v>Good</v>
      </c>
      <c r="M632" t="b">
        <f>TRUE()</f>
        <v>1</v>
      </c>
      <c r="N632" t="b">
        <f>FALSE()</f>
        <v>0</v>
      </c>
      <c r="O632" s="18" t="b">
        <f t="shared" si="29"/>
        <v>0</v>
      </c>
    </row>
    <row r="633" spans="1:15" x14ac:dyDescent="0.35">
      <c r="A633">
        <v>41340</v>
      </c>
      <c r="B633">
        <v>2078</v>
      </c>
      <c r="C633" t="s">
        <v>26</v>
      </c>
      <c r="D633" t="s">
        <v>32</v>
      </c>
      <c r="E633" t="s">
        <v>28</v>
      </c>
      <c r="F633">
        <v>9</v>
      </c>
      <c r="G633">
        <v>12375</v>
      </c>
      <c r="H633">
        <v>2340.36</v>
      </c>
      <c r="K633" t="str">
        <f t="shared" si="27"/>
        <v>5%</v>
      </c>
      <c r="L633" t="str">
        <f t="shared" si="28"/>
        <v>Good</v>
      </c>
      <c r="M633" t="b">
        <f>TRUE()</f>
        <v>1</v>
      </c>
      <c r="N633" t="b">
        <f>FALSE()</f>
        <v>0</v>
      </c>
      <c r="O633" s="18" t="b">
        <f t="shared" si="29"/>
        <v>0</v>
      </c>
    </row>
    <row r="634" spans="1:15" x14ac:dyDescent="0.35">
      <c r="A634">
        <v>41341</v>
      </c>
      <c r="B634">
        <v>1714</v>
      </c>
      <c r="C634" t="s">
        <v>23</v>
      </c>
      <c r="D634" t="s">
        <v>32</v>
      </c>
      <c r="E634" t="s">
        <v>25</v>
      </c>
      <c r="F634">
        <v>10</v>
      </c>
      <c r="G634">
        <v>11280</v>
      </c>
      <c r="H634">
        <v>5097.1500000000005</v>
      </c>
      <c r="K634" t="str">
        <f t="shared" si="27"/>
        <v>5%</v>
      </c>
      <c r="L634" t="str">
        <f t="shared" si="28"/>
        <v>Good</v>
      </c>
      <c r="M634" t="b">
        <f>TRUE()</f>
        <v>1</v>
      </c>
      <c r="N634" t="b">
        <f>FALSE()</f>
        <v>0</v>
      </c>
      <c r="O634" s="18" t="b">
        <f t="shared" si="29"/>
        <v>0</v>
      </c>
    </row>
    <row r="635" spans="1:15" x14ac:dyDescent="0.35">
      <c r="A635">
        <v>41342</v>
      </c>
      <c r="B635">
        <v>2079</v>
      </c>
      <c r="C635" t="s">
        <v>27</v>
      </c>
      <c r="D635" t="s">
        <v>32</v>
      </c>
      <c r="E635" t="s">
        <v>29</v>
      </c>
      <c r="F635">
        <v>10</v>
      </c>
      <c r="G635">
        <v>5220</v>
      </c>
      <c r="H635">
        <v>2862.6480000000001</v>
      </c>
      <c r="K635" t="str">
        <f t="shared" si="27"/>
        <v>2.5%</v>
      </c>
      <c r="L635" t="str">
        <f t="shared" si="28"/>
        <v>Need Improvement</v>
      </c>
      <c r="M635" t="b">
        <f>TRUE()</f>
        <v>1</v>
      </c>
      <c r="N635" t="b">
        <f>FALSE()</f>
        <v>0</v>
      </c>
      <c r="O635" s="18" t="b">
        <f t="shared" si="29"/>
        <v>0</v>
      </c>
    </row>
    <row r="636" spans="1:15" x14ac:dyDescent="0.35">
      <c r="A636">
        <v>41343</v>
      </c>
      <c r="B636">
        <v>1715</v>
      </c>
      <c r="C636" t="s">
        <v>26</v>
      </c>
      <c r="D636" t="s">
        <v>32</v>
      </c>
      <c r="E636" t="s">
        <v>25</v>
      </c>
      <c r="F636">
        <v>9</v>
      </c>
      <c r="G636">
        <v>9108</v>
      </c>
      <c r="H636">
        <v>4848.8715000000002</v>
      </c>
      <c r="K636" t="str">
        <f t="shared" si="27"/>
        <v>2.5%</v>
      </c>
      <c r="L636" t="str">
        <f t="shared" si="28"/>
        <v>Need Improvement</v>
      </c>
      <c r="M636" t="b">
        <f>TRUE()</f>
        <v>1</v>
      </c>
      <c r="N636" t="b">
        <f>FALSE()</f>
        <v>0</v>
      </c>
      <c r="O636" s="18" t="b">
        <f t="shared" si="29"/>
        <v>0</v>
      </c>
    </row>
    <row r="637" spans="1:15" x14ac:dyDescent="0.35">
      <c r="A637">
        <v>41344</v>
      </c>
      <c r="B637">
        <v>2080</v>
      </c>
      <c r="C637" t="s">
        <v>23</v>
      </c>
      <c r="D637" t="s">
        <v>32</v>
      </c>
      <c r="E637" t="s">
        <v>29</v>
      </c>
      <c r="F637">
        <v>8</v>
      </c>
      <c r="G637">
        <v>7176</v>
      </c>
      <c r="H637">
        <v>834.80799999999999</v>
      </c>
      <c r="K637" t="str">
        <f t="shared" si="27"/>
        <v>2.5%</v>
      </c>
      <c r="L637" t="str">
        <f t="shared" si="28"/>
        <v>Need Improvement</v>
      </c>
      <c r="M637" t="b">
        <f>TRUE()</f>
        <v>1</v>
      </c>
      <c r="N637" t="b">
        <f>FALSE()</f>
        <v>0</v>
      </c>
      <c r="O637" s="18" t="b">
        <f t="shared" si="29"/>
        <v>0</v>
      </c>
    </row>
    <row r="638" spans="1:15" x14ac:dyDescent="0.35">
      <c r="A638">
        <v>41345</v>
      </c>
      <c r="B638">
        <v>1716</v>
      </c>
      <c r="C638" t="s">
        <v>27</v>
      </c>
      <c r="D638" t="s">
        <v>32</v>
      </c>
      <c r="E638" t="s">
        <v>28</v>
      </c>
      <c r="F638">
        <v>9</v>
      </c>
      <c r="G638">
        <v>2605.5</v>
      </c>
      <c r="H638">
        <v>794.93804999999998</v>
      </c>
      <c r="K638" t="str">
        <f t="shared" si="27"/>
        <v>1.5%</v>
      </c>
      <c r="L638" t="str">
        <f t="shared" si="28"/>
        <v>Need Improvement</v>
      </c>
      <c r="M638" t="b">
        <f>TRUE()</f>
        <v>1</v>
      </c>
      <c r="N638" t="b">
        <f>FALSE()</f>
        <v>0</v>
      </c>
      <c r="O638" s="18" t="b">
        <f t="shared" si="29"/>
        <v>0</v>
      </c>
    </row>
    <row r="639" spans="1:15" x14ac:dyDescent="0.35">
      <c r="A639">
        <v>41346</v>
      </c>
      <c r="B639">
        <v>2081</v>
      </c>
      <c r="C639" t="s">
        <v>26</v>
      </c>
      <c r="D639" t="s">
        <v>32</v>
      </c>
      <c r="E639" t="s">
        <v>29</v>
      </c>
      <c r="F639">
        <v>10</v>
      </c>
      <c r="G639">
        <v>10600</v>
      </c>
      <c r="H639">
        <v>4454.12</v>
      </c>
      <c r="K639" t="str">
        <f t="shared" si="27"/>
        <v>5%</v>
      </c>
      <c r="L639" t="str">
        <f t="shared" si="28"/>
        <v>Good</v>
      </c>
      <c r="M639" t="b">
        <f>TRUE()</f>
        <v>1</v>
      </c>
      <c r="N639" t="b">
        <f>FALSE()</f>
        <v>0</v>
      </c>
      <c r="O639" s="18" t="b">
        <f t="shared" si="29"/>
        <v>0</v>
      </c>
    </row>
    <row r="640" spans="1:15" x14ac:dyDescent="0.35">
      <c r="A640">
        <v>41347</v>
      </c>
      <c r="B640">
        <v>1717</v>
      </c>
      <c r="C640" t="s">
        <v>23</v>
      </c>
      <c r="D640" t="s">
        <v>32</v>
      </c>
      <c r="E640" t="s">
        <v>28</v>
      </c>
      <c r="F640">
        <v>7</v>
      </c>
      <c r="G640">
        <v>2415</v>
      </c>
      <c r="H640">
        <v>724.74149999999986</v>
      </c>
      <c r="K640" t="str">
        <f t="shared" si="27"/>
        <v>1.5%</v>
      </c>
      <c r="L640" t="str">
        <f t="shared" si="28"/>
        <v>Need Improvement</v>
      </c>
      <c r="M640" t="b">
        <f>TRUE()</f>
        <v>1</v>
      </c>
      <c r="N640" t="b">
        <f>FALSE()</f>
        <v>0</v>
      </c>
      <c r="O640" s="18" t="b">
        <f t="shared" si="29"/>
        <v>0</v>
      </c>
    </row>
    <row r="641" spans="1:15" x14ac:dyDescent="0.35">
      <c r="A641">
        <v>41348</v>
      </c>
      <c r="B641">
        <v>1718</v>
      </c>
      <c r="C641" t="s">
        <v>26</v>
      </c>
      <c r="D641" t="s">
        <v>32</v>
      </c>
      <c r="E641" t="s">
        <v>28</v>
      </c>
      <c r="F641">
        <v>9</v>
      </c>
      <c r="G641">
        <v>6588</v>
      </c>
      <c r="H641">
        <v>2554.8263999999999</v>
      </c>
      <c r="K641" t="str">
        <f t="shared" si="27"/>
        <v>2.5%</v>
      </c>
      <c r="L641" t="str">
        <f t="shared" si="28"/>
        <v>Need Improvement</v>
      </c>
      <c r="M641" t="b">
        <f>TRUE()</f>
        <v>1</v>
      </c>
      <c r="N641" t="b">
        <f>FALSE()</f>
        <v>0</v>
      </c>
      <c r="O641" s="18" t="b">
        <f t="shared" si="29"/>
        <v>0</v>
      </c>
    </row>
    <row r="642" spans="1:15" x14ac:dyDescent="0.35">
      <c r="A642">
        <v>41349</v>
      </c>
      <c r="B642">
        <v>1719</v>
      </c>
      <c r="C642" t="s">
        <v>27</v>
      </c>
      <c r="D642" t="s">
        <v>32</v>
      </c>
      <c r="E642" t="s">
        <v>29</v>
      </c>
      <c r="F642">
        <v>7</v>
      </c>
      <c r="G642">
        <v>4063.5</v>
      </c>
      <c r="H642">
        <v>1466.1108000000002</v>
      </c>
      <c r="K642" t="str">
        <f t="shared" si="27"/>
        <v>1.5%</v>
      </c>
      <c r="L642" t="str">
        <f t="shared" si="28"/>
        <v>Need Improvement</v>
      </c>
      <c r="M642" t="b">
        <f>TRUE()</f>
        <v>1</v>
      </c>
      <c r="N642" t="b">
        <f>FALSE()</f>
        <v>0</v>
      </c>
      <c r="O642" s="18" t="b">
        <f t="shared" si="29"/>
        <v>0</v>
      </c>
    </row>
    <row r="643" spans="1:15" x14ac:dyDescent="0.35">
      <c r="A643">
        <v>41350</v>
      </c>
      <c r="B643">
        <v>1720</v>
      </c>
      <c r="C643" t="s">
        <v>23</v>
      </c>
      <c r="D643" t="s">
        <v>32</v>
      </c>
      <c r="E643" t="s">
        <v>29</v>
      </c>
      <c r="F643">
        <v>10</v>
      </c>
      <c r="G643">
        <v>14850</v>
      </c>
      <c r="H643">
        <v>5103.9450000000006</v>
      </c>
      <c r="K643" t="str">
        <f t="shared" ref="K643:K706" si="30">IF(G643&gt;10000,"5%",IF(AND(G643&gt;=5000,G643&lt;10000),"2.5%","1.5%"))</f>
        <v>5%</v>
      </c>
      <c r="L643" t="str">
        <f t="shared" ref="L643:L706" si="31">IF(OR(G643&gt;10000,H643&gt;=5000),"Good","Need Improvement")</f>
        <v>Good</v>
      </c>
      <c r="M643" t="b">
        <f>TRUE()</f>
        <v>1</v>
      </c>
      <c r="N643" t="b">
        <f>FALSE()</f>
        <v>0</v>
      </c>
      <c r="O643" s="18" t="b">
        <f t="shared" ref="O643:O706" si="32">NOT(M643)</f>
        <v>0</v>
      </c>
    </row>
    <row r="644" spans="1:15" x14ac:dyDescent="0.35">
      <c r="A644">
        <v>41351</v>
      </c>
      <c r="B644">
        <v>1721</v>
      </c>
      <c r="C644" t="s">
        <v>26</v>
      </c>
      <c r="D644" t="s">
        <v>32</v>
      </c>
      <c r="E644" t="s">
        <v>29</v>
      </c>
      <c r="F644">
        <v>10</v>
      </c>
      <c r="G644">
        <v>4560</v>
      </c>
      <c r="H644">
        <v>2971.2960000000003</v>
      </c>
      <c r="K644" t="str">
        <f t="shared" si="30"/>
        <v>1.5%</v>
      </c>
      <c r="L644" t="str">
        <f t="shared" si="31"/>
        <v>Need Improvement</v>
      </c>
      <c r="M644" t="b">
        <f>TRUE()</f>
        <v>1</v>
      </c>
      <c r="N644" t="b">
        <f>FALSE()</f>
        <v>0</v>
      </c>
      <c r="O644" s="18" t="b">
        <f t="shared" si="32"/>
        <v>0</v>
      </c>
    </row>
    <row r="645" spans="1:15" x14ac:dyDescent="0.35">
      <c r="A645">
        <v>41352</v>
      </c>
      <c r="B645">
        <v>2091</v>
      </c>
      <c r="C645" t="s">
        <v>27</v>
      </c>
      <c r="D645" t="s">
        <v>32</v>
      </c>
      <c r="E645" t="s">
        <v>25</v>
      </c>
      <c r="F645">
        <v>6</v>
      </c>
      <c r="G645">
        <v>6642</v>
      </c>
      <c r="H645">
        <v>3599.9639999999995</v>
      </c>
      <c r="K645" t="str">
        <f t="shared" si="30"/>
        <v>2.5%</v>
      </c>
      <c r="L645" t="str">
        <f t="shared" si="31"/>
        <v>Need Improvement</v>
      </c>
      <c r="M645" t="b">
        <f>TRUE()</f>
        <v>1</v>
      </c>
      <c r="N645" t="b">
        <f>FALSE()</f>
        <v>0</v>
      </c>
      <c r="O645" s="18" t="b">
        <f t="shared" si="32"/>
        <v>0</v>
      </c>
    </row>
    <row r="646" spans="1:15" x14ac:dyDescent="0.35">
      <c r="A646">
        <v>41353</v>
      </c>
      <c r="B646">
        <v>2092</v>
      </c>
      <c r="C646" t="s">
        <v>23</v>
      </c>
      <c r="D646" t="s">
        <v>32</v>
      </c>
      <c r="E646" t="s">
        <v>25</v>
      </c>
      <c r="F646">
        <v>6</v>
      </c>
      <c r="G646">
        <v>4428</v>
      </c>
      <c r="H646">
        <v>973.93860000000006</v>
      </c>
      <c r="K646" t="str">
        <f t="shared" si="30"/>
        <v>1.5%</v>
      </c>
      <c r="L646" t="str">
        <f t="shared" si="31"/>
        <v>Need Improvement</v>
      </c>
      <c r="M646" t="b">
        <f>TRUE()</f>
        <v>1</v>
      </c>
      <c r="N646" t="b">
        <f>FALSE()</f>
        <v>0</v>
      </c>
      <c r="O646" s="18" t="b">
        <f t="shared" si="32"/>
        <v>0</v>
      </c>
    </row>
    <row r="647" spans="1:15" x14ac:dyDescent="0.35">
      <c r="A647">
        <v>41354</v>
      </c>
      <c r="B647">
        <v>2093</v>
      </c>
      <c r="C647" t="s">
        <v>26</v>
      </c>
      <c r="D647" t="s">
        <v>32</v>
      </c>
      <c r="E647" t="s">
        <v>25</v>
      </c>
      <c r="F647">
        <v>8</v>
      </c>
      <c r="G647">
        <v>1812</v>
      </c>
      <c r="H647">
        <v>578.75280000000009</v>
      </c>
      <c r="K647" t="str">
        <f t="shared" si="30"/>
        <v>1.5%</v>
      </c>
      <c r="L647" t="str">
        <f t="shared" si="31"/>
        <v>Need Improvement</v>
      </c>
      <c r="M647" t="b">
        <f>TRUE()</f>
        <v>1</v>
      </c>
      <c r="N647" t="b">
        <f>FALSE()</f>
        <v>0</v>
      </c>
      <c r="O647" s="18" t="b">
        <f t="shared" si="32"/>
        <v>0</v>
      </c>
    </row>
    <row r="648" spans="1:15" x14ac:dyDescent="0.35">
      <c r="A648">
        <v>41355</v>
      </c>
      <c r="B648">
        <v>2094</v>
      </c>
      <c r="C648" t="s">
        <v>27</v>
      </c>
      <c r="D648" t="s">
        <v>32</v>
      </c>
      <c r="E648" t="s">
        <v>28</v>
      </c>
      <c r="F648">
        <v>7</v>
      </c>
      <c r="G648">
        <v>5544</v>
      </c>
      <c r="H648">
        <v>1490.2271999999998</v>
      </c>
      <c r="K648" t="str">
        <f t="shared" si="30"/>
        <v>2.5%</v>
      </c>
      <c r="L648" t="str">
        <f t="shared" si="31"/>
        <v>Need Improvement</v>
      </c>
      <c r="M648" t="b">
        <f>TRUE()</f>
        <v>1</v>
      </c>
      <c r="N648" t="b">
        <f>FALSE()</f>
        <v>0</v>
      </c>
      <c r="O648" s="18" t="b">
        <f t="shared" si="32"/>
        <v>0</v>
      </c>
    </row>
    <row r="649" spans="1:15" x14ac:dyDescent="0.35">
      <c r="A649">
        <v>41356</v>
      </c>
      <c r="B649">
        <v>2095</v>
      </c>
      <c r="C649" t="s">
        <v>23</v>
      </c>
      <c r="D649" t="s">
        <v>32</v>
      </c>
      <c r="E649" t="s">
        <v>28</v>
      </c>
      <c r="F649">
        <v>8</v>
      </c>
      <c r="G649">
        <v>4688</v>
      </c>
      <c r="H649">
        <v>2016.7776000000001</v>
      </c>
      <c r="K649" t="str">
        <f t="shared" si="30"/>
        <v>1.5%</v>
      </c>
      <c r="L649" t="str">
        <f t="shared" si="31"/>
        <v>Need Improvement</v>
      </c>
      <c r="M649" t="b">
        <f>TRUE()</f>
        <v>1</v>
      </c>
      <c r="N649" t="b">
        <f>FALSE()</f>
        <v>0</v>
      </c>
      <c r="O649" s="18" t="b">
        <f t="shared" si="32"/>
        <v>0</v>
      </c>
    </row>
    <row r="650" spans="1:15" x14ac:dyDescent="0.35">
      <c r="A650">
        <v>41357</v>
      </c>
      <c r="B650">
        <v>1731</v>
      </c>
      <c r="C650" t="s">
        <v>27</v>
      </c>
      <c r="D650" t="s">
        <v>32</v>
      </c>
      <c r="E650" t="s">
        <v>25</v>
      </c>
      <c r="F650">
        <v>9</v>
      </c>
      <c r="G650">
        <v>7128</v>
      </c>
      <c r="H650">
        <v>1762.5168000000001</v>
      </c>
      <c r="K650" t="str">
        <f t="shared" si="30"/>
        <v>2.5%</v>
      </c>
      <c r="L650" t="str">
        <f t="shared" si="31"/>
        <v>Need Improvement</v>
      </c>
      <c r="M650" t="b">
        <f>TRUE()</f>
        <v>1</v>
      </c>
      <c r="N650" t="b">
        <f>FALSE()</f>
        <v>0</v>
      </c>
      <c r="O650" s="18" t="b">
        <f t="shared" si="32"/>
        <v>0</v>
      </c>
    </row>
    <row r="651" spans="1:15" x14ac:dyDescent="0.35">
      <c r="A651">
        <v>41358</v>
      </c>
      <c r="B651">
        <v>2096</v>
      </c>
      <c r="C651" t="s">
        <v>26</v>
      </c>
      <c r="D651" t="s">
        <v>32</v>
      </c>
      <c r="E651" t="s">
        <v>28</v>
      </c>
      <c r="F651">
        <v>6</v>
      </c>
      <c r="G651">
        <v>7344</v>
      </c>
      <c r="H651">
        <v>2931.174</v>
      </c>
      <c r="K651" t="str">
        <f t="shared" si="30"/>
        <v>2.5%</v>
      </c>
      <c r="L651" t="str">
        <f t="shared" si="31"/>
        <v>Need Improvement</v>
      </c>
      <c r="M651" t="b">
        <f>TRUE()</f>
        <v>1</v>
      </c>
      <c r="N651" t="b">
        <f>FALSE()</f>
        <v>0</v>
      </c>
      <c r="O651" s="18" t="b">
        <f t="shared" si="32"/>
        <v>0</v>
      </c>
    </row>
    <row r="652" spans="1:15" x14ac:dyDescent="0.35">
      <c r="A652">
        <v>41359</v>
      </c>
      <c r="B652">
        <v>1732</v>
      </c>
      <c r="C652" t="s">
        <v>23</v>
      </c>
      <c r="D652" t="s">
        <v>32</v>
      </c>
      <c r="E652" t="s">
        <v>25</v>
      </c>
      <c r="F652">
        <v>6</v>
      </c>
      <c r="G652">
        <v>4698</v>
      </c>
      <c r="H652">
        <v>676.19880000000012</v>
      </c>
      <c r="K652" t="str">
        <f t="shared" si="30"/>
        <v>1.5%</v>
      </c>
      <c r="L652" t="str">
        <f t="shared" si="31"/>
        <v>Need Improvement</v>
      </c>
      <c r="M652" t="b">
        <f>TRUE()</f>
        <v>1</v>
      </c>
      <c r="N652" t="b">
        <f>FALSE()</f>
        <v>0</v>
      </c>
      <c r="O652" s="18" t="b">
        <f t="shared" si="32"/>
        <v>0</v>
      </c>
    </row>
    <row r="653" spans="1:15" x14ac:dyDescent="0.35">
      <c r="A653">
        <v>41360</v>
      </c>
      <c r="B653">
        <v>2097</v>
      </c>
      <c r="C653" t="s">
        <v>27</v>
      </c>
      <c r="D653" t="s">
        <v>32</v>
      </c>
      <c r="E653" t="s">
        <v>29</v>
      </c>
      <c r="F653">
        <v>9</v>
      </c>
      <c r="G653">
        <v>3294</v>
      </c>
      <c r="H653">
        <v>3128.4764999999998</v>
      </c>
      <c r="K653" t="str">
        <f t="shared" si="30"/>
        <v>1.5%</v>
      </c>
      <c r="L653" t="str">
        <f t="shared" si="31"/>
        <v>Need Improvement</v>
      </c>
      <c r="M653" t="b">
        <f>TRUE()</f>
        <v>1</v>
      </c>
      <c r="N653" t="b">
        <f>FALSE()</f>
        <v>0</v>
      </c>
      <c r="O653" s="18" t="b">
        <f t="shared" si="32"/>
        <v>0</v>
      </c>
    </row>
    <row r="654" spans="1:15" x14ac:dyDescent="0.35">
      <c r="A654">
        <v>41361</v>
      </c>
      <c r="B654">
        <v>1733</v>
      </c>
      <c r="C654" t="s">
        <v>26</v>
      </c>
      <c r="D654" t="s">
        <v>32</v>
      </c>
      <c r="E654" t="s">
        <v>25</v>
      </c>
      <c r="F654">
        <v>9</v>
      </c>
      <c r="G654">
        <v>5832</v>
      </c>
      <c r="H654">
        <v>3346.7903999999999</v>
      </c>
      <c r="K654" t="str">
        <f t="shared" si="30"/>
        <v>2.5%</v>
      </c>
      <c r="L654" t="str">
        <f t="shared" si="31"/>
        <v>Need Improvement</v>
      </c>
      <c r="M654" t="b">
        <f>TRUE()</f>
        <v>1</v>
      </c>
      <c r="N654" t="b">
        <f>FALSE()</f>
        <v>0</v>
      </c>
      <c r="O654" s="18" t="b">
        <f t="shared" si="32"/>
        <v>0</v>
      </c>
    </row>
    <row r="655" spans="1:15" x14ac:dyDescent="0.35">
      <c r="A655">
        <v>41362</v>
      </c>
      <c r="B655">
        <v>2098</v>
      </c>
      <c r="C655" t="s">
        <v>23</v>
      </c>
      <c r="D655" t="s">
        <v>32</v>
      </c>
      <c r="E655" t="s">
        <v>29</v>
      </c>
      <c r="F655">
        <v>8</v>
      </c>
      <c r="G655">
        <v>2508</v>
      </c>
      <c r="H655">
        <v>3452.0111999999999</v>
      </c>
      <c r="K655" t="str">
        <f t="shared" si="30"/>
        <v>1.5%</v>
      </c>
      <c r="L655" t="str">
        <f t="shared" si="31"/>
        <v>Need Improvement</v>
      </c>
      <c r="M655" t="b">
        <f>TRUE()</f>
        <v>1</v>
      </c>
      <c r="N655" t="b">
        <f>FALSE()</f>
        <v>0</v>
      </c>
      <c r="O655" s="18" t="b">
        <f t="shared" si="32"/>
        <v>0</v>
      </c>
    </row>
    <row r="656" spans="1:15" x14ac:dyDescent="0.35">
      <c r="A656">
        <v>41363</v>
      </c>
      <c r="B656">
        <v>1734</v>
      </c>
      <c r="C656" t="s">
        <v>27</v>
      </c>
      <c r="D656" t="s">
        <v>32</v>
      </c>
      <c r="E656" t="s">
        <v>28</v>
      </c>
      <c r="F656">
        <v>6</v>
      </c>
      <c r="G656">
        <v>5265</v>
      </c>
      <c r="H656">
        <v>544.92750000000001</v>
      </c>
      <c r="K656" t="str">
        <f t="shared" si="30"/>
        <v>2.5%</v>
      </c>
      <c r="L656" t="str">
        <f t="shared" si="31"/>
        <v>Need Improvement</v>
      </c>
      <c r="M656" t="b">
        <f>TRUE()</f>
        <v>1</v>
      </c>
      <c r="N656" t="b">
        <f>FALSE()</f>
        <v>0</v>
      </c>
      <c r="O656" s="18" t="b">
        <f t="shared" si="32"/>
        <v>0</v>
      </c>
    </row>
    <row r="657" spans="1:15" x14ac:dyDescent="0.35">
      <c r="A657">
        <v>41364</v>
      </c>
      <c r="B657">
        <v>2099</v>
      </c>
      <c r="C657" t="s">
        <v>26</v>
      </c>
      <c r="D657" t="s">
        <v>32</v>
      </c>
      <c r="E657" t="s">
        <v>29</v>
      </c>
      <c r="F657">
        <v>7</v>
      </c>
      <c r="G657">
        <v>1533</v>
      </c>
      <c r="H657">
        <v>673.75350000000003</v>
      </c>
      <c r="K657" t="str">
        <f t="shared" si="30"/>
        <v>1.5%</v>
      </c>
      <c r="L657" t="str">
        <f t="shared" si="31"/>
        <v>Need Improvement</v>
      </c>
      <c r="M657" t="b">
        <f>TRUE()</f>
        <v>1</v>
      </c>
      <c r="N657" t="b">
        <f>FALSE()</f>
        <v>0</v>
      </c>
      <c r="O657" s="18" t="b">
        <f t="shared" si="32"/>
        <v>0</v>
      </c>
    </row>
    <row r="658" spans="1:15" x14ac:dyDescent="0.35">
      <c r="A658">
        <v>41365</v>
      </c>
      <c r="B658">
        <v>1735</v>
      </c>
      <c r="C658" t="s">
        <v>23</v>
      </c>
      <c r="D658" t="s">
        <v>32</v>
      </c>
      <c r="E658" t="s">
        <v>28</v>
      </c>
      <c r="F658">
        <v>7</v>
      </c>
      <c r="G658">
        <v>7770</v>
      </c>
      <c r="H658">
        <v>2367.1305000000002</v>
      </c>
      <c r="K658" t="str">
        <f t="shared" si="30"/>
        <v>2.5%</v>
      </c>
      <c r="L658" t="str">
        <f t="shared" si="31"/>
        <v>Need Improvement</v>
      </c>
      <c r="M658" t="b">
        <f>TRUE()</f>
        <v>1</v>
      </c>
      <c r="N658" t="b">
        <f>FALSE()</f>
        <v>0</v>
      </c>
      <c r="O658" s="18" t="b">
        <f t="shared" si="32"/>
        <v>0</v>
      </c>
    </row>
    <row r="659" spans="1:15" x14ac:dyDescent="0.35">
      <c r="A659">
        <v>41366</v>
      </c>
      <c r="B659">
        <v>2100</v>
      </c>
      <c r="C659" t="s">
        <v>27</v>
      </c>
      <c r="D659" t="s">
        <v>32</v>
      </c>
      <c r="E659" t="s">
        <v>25</v>
      </c>
      <c r="F659">
        <v>6</v>
      </c>
      <c r="G659">
        <v>1719</v>
      </c>
      <c r="H659">
        <v>1526.8158000000001</v>
      </c>
      <c r="K659" t="str">
        <f t="shared" si="30"/>
        <v>1.5%</v>
      </c>
      <c r="L659" t="str">
        <f t="shared" si="31"/>
        <v>Need Improvement</v>
      </c>
      <c r="M659" t="b">
        <f>TRUE()</f>
        <v>1</v>
      </c>
      <c r="N659" t="b">
        <f>FALSE()</f>
        <v>0</v>
      </c>
      <c r="O659" s="18" t="b">
        <f t="shared" si="32"/>
        <v>0</v>
      </c>
    </row>
    <row r="660" spans="1:15" x14ac:dyDescent="0.35">
      <c r="A660">
        <v>41367</v>
      </c>
      <c r="B660">
        <v>1736</v>
      </c>
      <c r="C660" t="s">
        <v>26</v>
      </c>
      <c r="D660" t="s">
        <v>32</v>
      </c>
      <c r="E660" t="s">
        <v>28</v>
      </c>
      <c r="F660">
        <v>7</v>
      </c>
      <c r="G660">
        <v>4018</v>
      </c>
      <c r="H660">
        <v>772.8623</v>
      </c>
      <c r="K660" t="str">
        <f t="shared" si="30"/>
        <v>1.5%</v>
      </c>
      <c r="L660" t="str">
        <f t="shared" si="31"/>
        <v>Need Improvement</v>
      </c>
      <c r="M660" t="b">
        <f>TRUE()</f>
        <v>1</v>
      </c>
      <c r="N660" t="b">
        <f>FALSE()</f>
        <v>0</v>
      </c>
      <c r="O660" s="18" t="b">
        <f t="shared" si="32"/>
        <v>0</v>
      </c>
    </row>
    <row r="661" spans="1:15" x14ac:dyDescent="0.35">
      <c r="A661">
        <v>41368</v>
      </c>
      <c r="B661">
        <v>2101</v>
      </c>
      <c r="C661" t="s">
        <v>23</v>
      </c>
      <c r="D661" t="s">
        <v>32</v>
      </c>
      <c r="E661" t="s">
        <v>25</v>
      </c>
      <c r="F661">
        <v>9</v>
      </c>
      <c r="G661">
        <v>10395</v>
      </c>
      <c r="H661">
        <v>922.66019999999992</v>
      </c>
      <c r="K661" t="str">
        <f t="shared" si="30"/>
        <v>5%</v>
      </c>
      <c r="L661" t="str">
        <f t="shared" si="31"/>
        <v>Good</v>
      </c>
      <c r="M661" t="b">
        <f>TRUE()</f>
        <v>1</v>
      </c>
      <c r="N661" t="b">
        <f>FALSE()</f>
        <v>0</v>
      </c>
      <c r="O661" s="18" t="b">
        <f t="shared" si="32"/>
        <v>0</v>
      </c>
    </row>
    <row r="662" spans="1:15" x14ac:dyDescent="0.35">
      <c r="A662">
        <v>41369</v>
      </c>
      <c r="B662">
        <v>1737</v>
      </c>
      <c r="C662" t="s">
        <v>27</v>
      </c>
      <c r="D662" t="s">
        <v>32</v>
      </c>
      <c r="E662" t="s">
        <v>29</v>
      </c>
      <c r="F662">
        <v>10</v>
      </c>
      <c r="G662">
        <v>11100</v>
      </c>
      <c r="H662">
        <v>4928.3999999999996</v>
      </c>
      <c r="K662" t="str">
        <f t="shared" si="30"/>
        <v>5%</v>
      </c>
      <c r="L662" t="str">
        <f t="shared" si="31"/>
        <v>Good</v>
      </c>
      <c r="M662" t="b">
        <f>TRUE()</f>
        <v>1</v>
      </c>
      <c r="N662" t="b">
        <f>FALSE()</f>
        <v>0</v>
      </c>
      <c r="O662" s="18" t="b">
        <f t="shared" si="32"/>
        <v>0</v>
      </c>
    </row>
    <row r="663" spans="1:15" x14ac:dyDescent="0.35">
      <c r="A663">
        <v>41370</v>
      </c>
      <c r="B663">
        <v>2102</v>
      </c>
      <c r="C663" t="s">
        <v>26</v>
      </c>
      <c r="D663" t="s">
        <v>32</v>
      </c>
      <c r="E663" t="s">
        <v>25</v>
      </c>
      <c r="F663">
        <v>9</v>
      </c>
      <c r="G663">
        <v>5940</v>
      </c>
      <c r="H663">
        <v>1273.8330000000001</v>
      </c>
      <c r="K663" t="str">
        <f t="shared" si="30"/>
        <v>2.5%</v>
      </c>
      <c r="L663" t="str">
        <f t="shared" si="31"/>
        <v>Need Improvement</v>
      </c>
      <c r="M663" t="b">
        <f>TRUE()</f>
        <v>1</v>
      </c>
      <c r="N663" t="b">
        <f>FALSE()</f>
        <v>0</v>
      </c>
      <c r="O663" s="18" t="b">
        <f t="shared" si="32"/>
        <v>0</v>
      </c>
    </row>
    <row r="664" spans="1:15" x14ac:dyDescent="0.35">
      <c r="A664">
        <v>41371</v>
      </c>
      <c r="B664">
        <v>1738</v>
      </c>
      <c r="C664" t="s">
        <v>23</v>
      </c>
      <c r="D664" t="s">
        <v>32</v>
      </c>
      <c r="E664" t="s">
        <v>29</v>
      </c>
      <c r="F664">
        <v>7</v>
      </c>
      <c r="G664">
        <v>12442.5</v>
      </c>
      <c r="H664">
        <v>4404.6449999999995</v>
      </c>
      <c r="K664" t="str">
        <f t="shared" si="30"/>
        <v>5%</v>
      </c>
      <c r="L664" t="str">
        <f t="shared" si="31"/>
        <v>Good</v>
      </c>
      <c r="M664" t="b">
        <f>TRUE()</f>
        <v>1</v>
      </c>
      <c r="N664" t="b">
        <f>FALSE()</f>
        <v>0</v>
      </c>
      <c r="O664" s="18" t="b">
        <f t="shared" si="32"/>
        <v>0</v>
      </c>
    </row>
    <row r="665" spans="1:15" x14ac:dyDescent="0.35">
      <c r="A665">
        <v>41372</v>
      </c>
      <c r="B665">
        <v>2103</v>
      </c>
      <c r="C665" t="s">
        <v>27</v>
      </c>
      <c r="D665" t="s">
        <v>32</v>
      </c>
      <c r="E665" t="s">
        <v>28</v>
      </c>
      <c r="F665">
        <v>7</v>
      </c>
      <c r="G665">
        <v>6132</v>
      </c>
      <c r="H665">
        <v>3357.2700000000004</v>
      </c>
      <c r="K665" t="str">
        <f t="shared" si="30"/>
        <v>2.5%</v>
      </c>
      <c r="L665" t="str">
        <f t="shared" si="31"/>
        <v>Need Improvement</v>
      </c>
      <c r="M665" t="b">
        <f>TRUE()</f>
        <v>1</v>
      </c>
      <c r="N665" t="b">
        <f>FALSE()</f>
        <v>0</v>
      </c>
      <c r="O665" s="18" t="b">
        <f t="shared" si="32"/>
        <v>0</v>
      </c>
    </row>
    <row r="666" spans="1:15" x14ac:dyDescent="0.35">
      <c r="A666">
        <v>41373</v>
      </c>
      <c r="B666">
        <v>1739</v>
      </c>
      <c r="C666" t="s">
        <v>26</v>
      </c>
      <c r="D666" t="s">
        <v>32</v>
      </c>
      <c r="E666" t="s">
        <v>29</v>
      </c>
      <c r="F666">
        <v>7</v>
      </c>
      <c r="G666">
        <v>10500</v>
      </c>
      <c r="H666">
        <v>1850.1</v>
      </c>
      <c r="K666" t="str">
        <f t="shared" si="30"/>
        <v>5%</v>
      </c>
      <c r="L666" t="str">
        <f t="shared" si="31"/>
        <v>Good</v>
      </c>
      <c r="M666" t="b">
        <f>TRUE()</f>
        <v>1</v>
      </c>
      <c r="N666" t="b">
        <f>FALSE()</f>
        <v>0</v>
      </c>
      <c r="O666" s="18" t="b">
        <f t="shared" si="32"/>
        <v>0</v>
      </c>
    </row>
    <row r="667" spans="1:15" x14ac:dyDescent="0.35">
      <c r="A667">
        <v>41374</v>
      </c>
      <c r="B667">
        <v>2104</v>
      </c>
      <c r="C667" t="s">
        <v>23</v>
      </c>
      <c r="D667" t="s">
        <v>32</v>
      </c>
      <c r="E667" t="s">
        <v>28</v>
      </c>
      <c r="F667">
        <v>10</v>
      </c>
      <c r="G667">
        <v>14650</v>
      </c>
      <c r="H667">
        <v>5070.3650000000007</v>
      </c>
      <c r="K667" t="str">
        <f t="shared" si="30"/>
        <v>5%</v>
      </c>
      <c r="L667" t="str">
        <f t="shared" si="31"/>
        <v>Good</v>
      </c>
      <c r="M667" t="b">
        <f>TRUE()</f>
        <v>1</v>
      </c>
      <c r="N667" t="b">
        <f>FALSE()</f>
        <v>0</v>
      </c>
      <c r="O667" s="18" t="b">
        <f t="shared" si="32"/>
        <v>0</v>
      </c>
    </row>
    <row r="668" spans="1:15" x14ac:dyDescent="0.35">
      <c r="A668">
        <v>41375</v>
      </c>
      <c r="B668">
        <v>1740</v>
      </c>
      <c r="C668" t="s">
        <v>27</v>
      </c>
      <c r="D668" t="s">
        <v>32</v>
      </c>
      <c r="E668" t="s">
        <v>25</v>
      </c>
      <c r="F668">
        <v>9</v>
      </c>
      <c r="G668">
        <v>14985</v>
      </c>
      <c r="H668">
        <v>4501.4940000000006</v>
      </c>
      <c r="K668" t="str">
        <f t="shared" si="30"/>
        <v>5%</v>
      </c>
      <c r="L668" t="str">
        <f t="shared" si="31"/>
        <v>Good</v>
      </c>
      <c r="M668" t="b">
        <f>TRUE()</f>
        <v>1</v>
      </c>
      <c r="N668" t="b">
        <f>FALSE()</f>
        <v>0</v>
      </c>
      <c r="O668" s="18" t="b">
        <f t="shared" si="32"/>
        <v>0</v>
      </c>
    </row>
    <row r="669" spans="1:15" x14ac:dyDescent="0.35">
      <c r="A669">
        <v>41376</v>
      </c>
      <c r="B669">
        <v>2105</v>
      </c>
      <c r="C669" t="s">
        <v>26</v>
      </c>
      <c r="D669" t="s">
        <v>32</v>
      </c>
      <c r="E669" t="s">
        <v>28</v>
      </c>
      <c r="F669">
        <v>8</v>
      </c>
      <c r="G669">
        <v>2214</v>
      </c>
      <c r="H669">
        <v>4702.5359999999991</v>
      </c>
      <c r="K669" t="str">
        <f t="shared" si="30"/>
        <v>1.5%</v>
      </c>
      <c r="L669" t="str">
        <f t="shared" si="31"/>
        <v>Need Improvement</v>
      </c>
      <c r="M669" t="b">
        <f>TRUE()</f>
        <v>1</v>
      </c>
      <c r="N669" t="b">
        <f>FALSE()</f>
        <v>0</v>
      </c>
      <c r="O669" s="18" t="b">
        <f t="shared" si="32"/>
        <v>0</v>
      </c>
    </row>
    <row r="670" spans="1:15" x14ac:dyDescent="0.35">
      <c r="A670">
        <v>41377</v>
      </c>
      <c r="B670">
        <v>1741</v>
      </c>
      <c r="C670" t="s">
        <v>23</v>
      </c>
      <c r="D670" t="s">
        <v>32</v>
      </c>
      <c r="E670" t="s">
        <v>25</v>
      </c>
      <c r="F670">
        <v>10</v>
      </c>
      <c r="G670">
        <v>8370</v>
      </c>
      <c r="H670">
        <v>1086.9839999999999</v>
      </c>
      <c r="K670" t="str">
        <f t="shared" si="30"/>
        <v>2.5%</v>
      </c>
      <c r="L670" t="str">
        <f t="shared" si="31"/>
        <v>Need Improvement</v>
      </c>
      <c r="M670" t="b">
        <f>TRUE()</f>
        <v>1</v>
      </c>
      <c r="N670" t="b">
        <f>FALSE()</f>
        <v>0</v>
      </c>
      <c r="O670" s="18" t="b">
        <f t="shared" si="32"/>
        <v>0</v>
      </c>
    </row>
    <row r="671" spans="1:15" x14ac:dyDescent="0.35">
      <c r="A671">
        <v>41378</v>
      </c>
      <c r="B671">
        <v>2106</v>
      </c>
      <c r="C671" t="s">
        <v>27</v>
      </c>
      <c r="D671" t="s">
        <v>32</v>
      </c>
      <c r="E671" t="s">
        <v>29</v>
      </c>
      <c r="F671">
        <v>6</v>
      </c>
      <c r="G671">
        <v>7560</v>
      </c>
      <c r="H671">
        <v>4897.619999999999</v>
      </c>
      <c r="K671" t="str">
        <f t="shared" si="30"/>
        <v>2.5%</v>
      </c>
      <c r="L671" t="str">
        <f t="shared" si="31"/>
        <v>Need Improvement</v>
      </c>
      <c r="M671" t="b">
        <f>TRUE()</f>
        <v>1</v>
      </c>
      <c r="N671" t="b">
        <f>FALSE()</f>
        <v>0</v>
      </c>
      <c r="O671" s="18" t="b">
        <f t="shared" si="32"/>
        <v>0</v>
      </c>
    </row>
    <row r="672" spans="1:15" x14ac:dyDescent="0.35">
      <c r="A672">
        <v>41379</v>
      </c>
      <c r="B672">
        <v>1742</v>
      </c>
      <c r="C672" t="s">
        <v>26</v>
      </c>
      <c r="D672" t="s">
        <v>32</v>
      </c>
      <c r="E672" t="s">
        <v>25</v>
      </c>
      <c r="F672">
        <v>6</v>
      </c>
      <c r="G672">
        <v>1512</v>
      </c>
      <c r="H672">
        <v>1825.2864</v>
      </c>
      <c r="K672" t="str">
        <f t="shared" si="30"/>
        <v>1.5%</v>
      </c>
      <c r="L672" t="str">
        <f t="shared" si="31"/>
        <v>Need Improvement</v>
      </c>
      <c r="M672" t="b">
        <f>TRUE()</f>
        <v>1</v>
      </c>
      <c r="N672" t="b">
        <f>FALSE()</f>
        <v>0</v>
      </c>
      <c r="O672" s="18" t="b">
        <f t="shared" si="32"/>
        <v>0</v>
      </c>
    </row>
    <row r="673" spans="1:15" x14ac:dyDescent="0.35">
      <c r="A673">
        <v>41380</v>
      </c>
      <c r="B673">
        <v>2107</v>
      </c>
      <c r="C673" t="s">
        <v>23</v>
      </c>
      <c r="D673" t="s">
        <v>32</v>
      </c>
      <c r="E673" t="s">
        <v>29</v>
      </c>
      <c r="F673">
        <v>8</v>
      </c>
      <c r="G673">
        <v>1812</v>
      </c>
      <c r="H673">
        <v>2564.3424</v>
      </c>
      <c r="K673" t="str">
        <f t="shared" si="30"/>
        <v>1.5%</v>
      </c>
      <c r="L673" t="str">
        <f t="shared" si="31"/>
        <v>Need Improvement</v>
      </c>
      <c r="M673" t="b">
        <f>TRUE()</f>
        <v>1</v>
      </c>
      <c r="N673" t="b">
        <f>FALSE()</f>
        <v>0</v>
      </c>
      <c r="O673" s="18" t="b">
        <f t="shared" si="32"/>
        <v>0</v>
      </c>
    </row>
    <row r="674" spans="1:15" x14ac:dyDescent="0.35">
      <c r="A674">
        <v>41381</v>
      </c>
      <c r="B674">
        <v>1743</v>
      </c>
      <c r="C674" t="s">
        <v>27</v>
      </c>
      <c r="D674" t="s">
        <v>32</v>
      </c>
      <c r="E674" t="s">
        <v>28</v>
      </c>
      <c r="F674">
        <v>10</v>
      </c>
      <c r="G674">
        <v>11220</v>
      </c>
      <c r="H674">
        <v>924.24750000000017</v>
      </c>
      <c r="K674" t="str">
        <f t="shared" si="30"/>
        <v>5%</v>
      </c>
      <c r="L674" t="str">
        <f t="shared" si="31"/>
        <v>Good</v>
      </c>
      <c r="M674" t="b">
        <f>TRUE()</f>
        <v>1</v>
      </c>
      <c r="N674" t="b">
        <f>FALSE()</f>
        <v>0</v>
      </c>
      <c r="O674" s="18" t="b">
        <f t="shared" si="32"/>
        <v>0</v>
      </c>
    </row>
    <row r="675" spans="1:15" x14ac:dyDescent="0.35">
      <c r="A675">
        <v>41382</v>
      </c>
      <c r="B675">
        <v>2108</v>
      </c>
      <c r="C675" t="s">
        <v>26</v>
      </c>
      <c r="D675" t="s">
        <v>32</v>
      </c>
      <c r="E675" t="s">
        <v>29</v>
      </c>
      <c r="F675">
        <v>8</v>
      </c>
      <c r="G675">
        <v>6768</v>
      </c>
      <c r="H675">
        <v>983.61599999999999</v>
      </c>
      <c r="K675" t="str">
        <f t="shared" si="30"/>
        <v>2.5%</v>
      </c>
      <c r="L675" t="str">
        <f t="shared" si="31"/>
        <v>Need Improvement</v>
      </c>
      <c r="M675" t="b">
        <f>TRUE()</f>
        <v>1</v>
      </c>
      <c r="N675" t="b">
        <f>FALSE()</f>
        <v>0</v>
      </c>
      <c r="O675" s="18" t="b">
        <f t="shared" si="32"/>
        <v>0</v>
      </c>
    </row>
    <row r="676" spans="1:15" x14ac:dyDescent="0.35">
      <c r="A676">
        <v>41383</v>
      </c>
      <c r="B676">
        <v>1744</v>
      </c>
      <c r="C676" t="s">
        <v>23</v>
      </c>
      <c r="D676" t="s">
        <v>32</v>
      </c>
      <c r="E676" t="s">
        <v>28</v>
      </c>
      <c r="F676">
        <v>6</v>
      </c>
      <c r="G676">
        <v>11002.5</v>
      </c>
      <c r="H676">
        <v>1825.0947000000001</v>
      </c>
      <c r="K676" t="str">
        <f t="shared" si="30"/>
        <v>5%</v>
      </c>
      <c r="L676" t="str">
        <f t="shared" si="31"/>
        <v>Good</v>
      </c>
      <c r="M676" t="b">
        <f>TRUE()</f>
        <v>1</v>
      </c>
      <c r="N676" t="b">
        <f>FALSE()</f>
        <v>0</v>
      </c>
      <c r="O676" s="18" t="b">
        <f t="shared" si="32"/>
        <v>0</v>
      </c>
    </row>
    <row r="677" spans="1:15" x14ac:dyDescent="0.35">
      <c r="A677">
        <v>41384</v>
      </c>
      <c r="B677">
        <v>2109</v>
      </c>
      <c r="C677" t="s">
        <v>27</v>
      </c>
      <c r="D677" t="s">
        <v>32</v>
      </c>
      <c r="E677" t="s">
        <v>25</v>
      </c>
      <c r="F677">
        <v>10</v>
      </c>
      <c r="G677">
        <v>4120</v>
      </c>
      <c r="H677">
        <v>1626.9879999999998</v>
      </c>
      <c r="K677" t="str">
        <f t="shared" si="30"/>
        <v>1.5%</v>
      </c>
      <c r="L677" t="str">
        <f t="shared" si="31"/>
        <v>Need Improvement</v>
      </c>
      <c r="M677" t="b">
        <f>TRUE()</f>
        <v>1</v>
      </c>
      <c r="N677" t="b">
        <f>FALSE()</f>
        <v>0</v>
      </c>
      <c r="O677" s="18" t="b">
        <f t="shared" si="32"/>
        <v>0</v>
      </c>
    </row>
    <row r="678" spans="1:15" x14ac:dyDescent="0.35">
      <c r="A678">
        <v>41385</v>
      </c>
      <c r="B678">
        <v>1745</v>
      </c>
      <c r="C678" t="s">
        <v>26</v>
      </c>
      <c r="D678" t="s">
        <v>32</v>
      </c>
      <c r="E678" t="s">
        <v>28</v>
      </c>
      <c r="F678">
        <v>8</v>
      </c>
      <c r="G678">
        <v>14580</v>
      </c>
      <c r="H678">
        <v>6256.2780000000002</v>
      </c>
      <c r="K678" t="str">
        <f t="shared" si="30"/>
        <v>5%</v>
      </c>
      <c r="L678" t="str">
        <f t="shared" si="31"/>
        <v>Good</v>
      </c>
      <c r="M678" t="b">
        <f>TRUE()</f>
        <v>1</v>
      </c>
      <c r="N678" t="b">
        <f>FALSE()</f>
        <v>0</v>
      </c>
      <c r="O678" s="18" t="b">
        <f t="shared" si="32"/>
        <v>0</v>
      </c>
    </row>
    <row r="679" spans="1:15" x14ac:dyDescent="0.35">
      <c r="A679">
        <v>41386</v>
      </c>
      <c r="B679">
        <v>2110</v>
      </c>
      <c r="C679" t="s">
        <v>23</v>
      </c>
      <c r="D679" t="s">
        <v>32</v>
      </c>
      <c r="E679" t="s">
        <v>25</v>
      </c>
      <c r="F679">
        <v>7</v>
      </c>
      <c r="G679">
        <v>10867.5</v>
      </c>
      <c r="H679">
        <v>4205.7224999999999</v>
      </c>
      <c r="K679" t="str">
        <f t="shared" si="30"/>
        <v>5%</v>
      </c>
      <c r="L679" t="str">
        <f t="shared" si="31"/>
        <v>Good</v>
      </c>
      <c r="M679" t="b">
        <f>TRUE()</f>
        <v>1</v>
      </c>
      <c r="N679" t="b">
        <f>FALSE()</f>
        <v>0</v>
      </c>
      <c r="O679" s="18" t="b">
        <f t="shared" si="32"/>
        <v>0</v>
      </c>
    </row>
    <row r="680" spans="1:15" x14ac:dyDescent="0.35">
      <c r="A680">
        <v>41387</v>
      </c>
      <c r="B680">
        <v>1746</v>
      </c>
      <c r="C680" t="s">
        <v>27</v>
      </c>
      <c r="D680" t="s">
        <v>32</v>
      </c>
      <c r="E680" t="s">
        <v>29</v>
      </c>
      <c r="F680">
        <v>6</v>
      </c>
      <c r="G680">
        <v>7092</v>
      </c>
      <c r="H680">
        <v>2235.5757000000003</v>
      </c>
      <c r="K680" t="str">
        <f t="shared" si="30"/>
        <v>2.5%</v>
      </c>
      <c r="L680" t="str">
        <f t="shared" si="31"/>
        <v>Need Improvement</v>
      </c>
      <c r="M680" t="b">
        <f>TRUE()</f>
        <v>1</v>
      </c>
      <c r="N680" t="b">
        <f>FALSE()</f>
        <v>0</v>
      </c>
      <c r="O680" s="18" t="b">
        <f t="shared" si="32"/>
        <v>0</v>
      </c>
    </row>
    <row r="681" spans="1:15" x14ac:dyDescent="0.35">
      <c r="A681">
        <v>41388</v>
      </c>
      <c r="B681">
        <v>2111</v>
      </c>
      <c r="C681" t="s">
        <v>26</v>
      </c>
      <c r="D681" t="s">
        <v>32</v>
      </c>
      <c r="E681" t="s">
        <v>25</v>
      </c>
      <c r="F681">
        <v>6</v>
      </c>
      <c r="G681">
        <v>10732.5</v>
      </c>
      <c r="H681">
        <v>3605.2613999999999</v>
      </c>
      <c r="K681" t="str">
        <f t="shared" si="30"/>
        <v>5%</v>
      </c>
      <c r="L681" t="str">
        <f t="shared" si="31"/>
        <v>Good</v>
      </c>
      <c r="M681" t="b">
        <f>TRUE()</f>
        <v>1</v>
      </c>
      <c r="N681" t="b">
        <f>FALSE()</f>
        <v>0</v>
      </c>
      <c r="O681" s="18" t="b">
        <f t="shared" si="32"/>
        <v>0</v>
      </c>
    </row>
    <row r="682" spans="1:15" x14ac:dyDescent="0.35">
      <c r="A682">
        <v>41389</v>
      </c>
      <c r="B682">
        <v>1747</v>
      </c>
      <c r="C682" t="s">
        <v>23</v>
      </c>
      <c r="D682" t="s">
        <v>32</v>
      </c>
      <c r="E682" t="s">
        <v>29</v>
      </c>
      <c r="F682">
        <v>10</v>
      </c>
      <c r="G682">
        <v>8580</v>
      </c>
      <c r="H682">
        <v>1138.8520000000001</v>
      </c>
      <c r="K682" t="str">
        <f t="shared" si="30"/>
        <v>2.5%</v>
      </c>
      <c r="L682" t="str">
        <f t="shared" si="31"/>
        <v>Need Improvement</v>
      </c>
      <c r="M682" t="b">
        <f>TRUE()</f>
        <v>1</v>
      </c>
      <c r="N682" t="b">
        <f>FALSE()</f>
        <v>0</v>
      </c>
      <c r="O682" s="18" t="b">
        <f t="shared" si="32"/>
        <v>0</v>
      </c>
    </row>
    <row r="683" spans="1:15" x14ac:dyDescent="0.35">
      <c r="A683">
        <v>41390</v>
      </c>
      <c r="B683">
        <v>2112</v>
      </c>
      <c r="C683" t="s">
        <v>27</v>
      </c>
      <c r="D683" t="s">
        <v>32</v>
      </c>
      <c r="E683" t="s">
        <v>28</v>
      </c>
      <c r="F683">
        <v>8</v>
      </c>
      <c r="G683">
        <v>4824</v>
      </c>
      <c r="H683">
        <v>2411.0352000000003</v>
      </c>
      <c r="K683" t="str">
        <f t="shared" si="30"/>
        <v>1.5%</v>
      </c>
      <c r="L683" t="str">
        <f t="shared" si="31"/>
        <v>Need Improvement</v>
      </c>
      <c r="M683" t="b">
        <f>TRUE()</f>
        <v>1</v>
      </c>
      <c r="N683" t="b">
        <f>FALSE()</f>
        <v>0</v>
      </c>
      <c r="O683" s="18" t="b">
        <f t="shared" si="32"/>
        <v>0</v>
      </c>
    </row>
    <row r="684" spans="1:15" x14ac:dyDescent="0.35">
      <c r="A684">
        <v>41391</v>
      </c>
      <c r="B684">
        <v>1748</v>
      </c>
      <c r="C684" t="s">
        <v>26</v>
      </c>
      <c r="D684" t="s">
        <v>32</v>
      </c>
      <c r="E684" t="s">
        <v>29</v>
      </c>
      <c r="F684">
        <v>9</v>
      </c>
      <c r="G684">
        <v>8208</v>
      </c>
      <c r="H684">
        <v>1264.4423999999999</v>
      </c>
      <c r="K684" t="str">
        <f t="shared" si="30"/>
        <v>2.5%</v>
      </c>
      <c r="L684" t="str">
        <f t="shared" si="31"/>
        <v>Need Improvement</v>
      </c>
      <c r="M684" t="b">
        <f>TRUE()</f>
        <v>1</v>
      </c>
      <c r="N684" t="b">
        <f>FALSE()</f>
        <v>0</v>
      </c>
      <c r="O684" s="18" t="b">
        <f t="shared" si="32"/>
        <v>0</v>
      </c>
    </row>
    <row r="685" spans="1:15" x14ac:dyDescent="0.35">
      <c r="A685">
        <v>41392</v>
      </c>
      <c r="B685">
        <v>2113</v>
      </c>
      <c r="C685" t="s">
        <v>23</v>
      </c>
      <c r="D685" t="s">
        <v>32</v>
      </c>
      <c r="E685" t="s">
        <v>28</v>
      </c>
      <c r="F685">
        <v>8</v>
      </c>
      <c r="G685">
        <v>4256</v>
      </c>
      <c r="H685">
        <v>2694.0480000000002</v>
      </c>
      <c r="K685" t="str">
        <f t="shared" si="30"/>
        <v>1.5%</v>
      </c>
      <c r="L685" t="str">
        <f t="shared" si="31"/>
        <v>Need Improvement</v>
      </c>
      <c r="M685" t="b">
        <f>TRUE()</f>
        <v>1</v>
      </c>
      <c r="N685" t="b">
        <f>FALSE()</f>
        <v>0</v>
      </c>
      <c r="O685" s="18" t="b">
        <f t="shared" si="32"/>
        <v>0</v>
      </c>
    </row>
    <row r="686" spans="1:15" x14ac:dyDescent="0.35">
      <c r="A686">
        <v>41393</v>
      </c>
      <c r="B686">
        <v>1749</v>
      </c>
      <c r="C686" t="s">
        <v>27</v>
      </c>
      <c r="D686" t="s">
        <v>32</v>
      </c>
      <c r="E686" t="s">
        <v>25</v>
      </c>
      <c r="F686">
        <v>6</v>
      </c>
      <c r="G686">
        <v>7308</v>
      </c>
      <c r="H686">
        <v>1987.4105999999999</v>
      </c>
      <c r="K686" t="str">
        <f t="shared" si="30"/>
        <v>2.5%</v>
      </c>
      <c r="L686" t="str">
        <f t="shared" si="31"/>
        <v>Need Improvement</v>
      </c>
      <c r="M686" t="b">
        <f>TRUE()</f>
        <v>1</v>
      </c>
      <c r="N686" t="b">
        <f>FALSE()</f>
        <v>0</v>
      </c>
      <c r="O686" s="18" t="b">
        <f t="shared" si="32"/>
        <v>0</v>
      </c>
    </row>
    <row r="687" spans="1:15" x14ac:dyDescent="0.35">
      <c r="A687">
        <v>41394</v>
      </c>
      <c r="B687">
        <v>2114</v>
      </c>
      <c r="C687" t="s">
        <v>26</v>
      </c>
      <c r="D687" t="s">
        <v>32</v>
      </c>
      <c r="E687" t="s">
        <v>28</v>
      </c>
      <c r="F687">
        <v>8</v>
      </c>
      <c r="G687">
        <v>9300</v>
      </c>
      <c r="H687">
        <v>2842.08</v>
      </c>
      <c r="K687" t="str">
        <f t="shared" si="30"/>
        <v>2.5%</v>
      </c>
      <c r="L687" t="str">
        <f t="shared" si="31"/>
        <v>Need Improvement</v>
      </c>
      <c r="M687" t="b">
        <f>TRUE()</f>
        <v>1</v>
      </c>
      <c r="N687" t="b">
        <f>FALSE()</f>
        <v>0</v>
      </c>
      <c r="O687" s="18" t="b">
        <f t="shared" si="32"/>
        <v>0</v>
      </c>
    </row>
    <row r="688" spans="1:15" x14ac:dyDescent="0.35">
      <c r="A688">
        <v>41395</v>
      </c>
      <c r="B688">
        <v>1750</v>
      </c>
      <c r="C688" t="s">
        <v>23</v>
      </c>
      <c r="D688" t="s">
        <v>32</v>
      </c>
      <c r="E688" t="s">
        <v>25</v>
      </c>
      <c r="F688">
        <v>10</v>
      </c>
      <c r="G688">
        <v>9840</v>
      </c>
      <c r="H688">
        <v>1549.8</v>
      </c>
      <c r="K688" t="str">
        <f t="shared" si="30"/>
        <v>2.5%</v>
      </c>
      <c r="L688" t="str">
        <f t="shared" si="31"/>
        <v>Need Improvement</v>
      </c>
      <c r="M688" t="b">
        <f>TRUE()</f>
        <v>1</v>
      </c>
      <c r="N688" t="b">
        <f>FALSE()</f>
        <v>0</v>
      </c>
      <c r="O688" s="18" t="b">
        <f t="shared" si="32"/>
        <v>0</v>
      </c>
    </row>
    <row r="689" spans="1:15" x14ac:dyDescent="0.35">
      <c r="A689">
        <v>41396</v>
      </c>
      <c r="B689">
        <v>2115</v>
      </c>
      <c r="C689" t="s">
        <v>27</v>
      </c>
      <c r="D689" t="s">
        <v>32</v>
      </c>
      <c r="E689" t="s">
        <v>29</v>
      </c>
      <c r="F689">
        <v>6</v>
      </c>
      <c r="G689">
        <v>5346</v>
      </c>
      <c r="H689">
        <v>2876.8608000000004</v>
      </c>
      <c r="K689" t="str">
        <f t="shared" si="30"/>
        <v>2.5%</v>
      </c>
      <c r="L689" t="str">
        <f t="shared" si="31"/>
        <v>Need Improvement</v>
      </c>
      <c r="M689" t="b">
        <f>TRUE()</f>
        <v>1</v>
      </c>
      <c r="N689" t="b">
        <f>FALSE()</f>
        <v>0</v>
      </c>
      <c r="O689" s="18" t="b">
        <f t="shared" si="32"/>
        <v>0</v>
      </c>
    </row>
    <row r="690" spans="1:15" x14ac:dyDescent="0.35">
      <c r="A690">
        <v>41397</v>
      </c>
      <c r="B690">
        <v>1751</v>
      </c>
      <c r="C690" t="s">
        <v>26</v>
      </c>
      <c r="D690" t="s">
        <v>32</v>
      </c>
      <c r="E690" t="s">
        <v>25</v>
      </c>
      <c r="F690">
        <v>9</v>
      </c>
      <c r="G690">
        <v>10440</v>
      </c>
      <c r="H690">
        <v>1611.4139999999998</v>
      </c>
      <c r="K690" t="str">
        <f t="shared" si="30"/>
        <v>5%</v>
      </c>
      <c r="L690" t="str">
        <f t="shared" si="31"/>
        <v>Good</v>
      </c>
      <c r="M690" t="b">
        <f>TRUE()</f>
        <v>1</v>
      </c>
      <c r="N690" t="b">
        <f>FALSE()</f>
        <v>0</v>
      </c>
      <c r="O690" s="18" t="b">
        <f t="shared" si="32"/>
        <v>0</v>
      </c>
    </row>
    <row r="691" spans="1:15" x14ac:dyDescent="0.35">
      <c r="A691">
        <v>41398</v>
      </c>
      <c r="B691">
        <v>2116</v>
      </c>
      <c r="C691" t="s">
        <v>23</v>
      </c>
      <c r="D691" t="s">
        <v>32</v>
      </c>
      <c r="E691" t="s">
        <v>29</v>
      </c>
      <c r="F691">
        <v>6</v>
      </c>
      <c r="G691">
        <v>12060</v>
      </c>
      <c r="H691">
        <v>3905.5104000000001</v>
      </c>
      <c r="K691" t="str">
        <f t="shared" si="30"/>
        <v>5%</v>
      </c>
      <c r="L691" t="str">
        <f t="shared" si="31"/>
        <v>Good</v>
      </c>
      <c r="M691" t="b">
        <f>TRUE()</f>
        <v>1</v>
      </c>
      <c r="N691" t="b">
        <f>FALSE()</f>
        <v>0</v>
      </c>
      <c r="O691" s="18" t="b">
        <f t="shared" si="32"/>
        <v>0</v>
      </c>
    </row>
    <row r="692" spans="1:15" x14ac:dyDescent="0.35">
      <c r="A692">
        <v>41399</v>
      </c>
      <c r="B692">
        <v>1752</v>
      </c>
      <c r="C692" t="s">
        <v>27</v>
      </c>
      <c r="D692" t="s">
        <v>32</v>
      </c>
      <c r="E692" t="s">
        <v>28</v>
      </c>
      <c r="F692">
        <v>9</v>
      </c>
      <c r="G692">
        <v>8383.5</v>
      </c>
      <c r="H692">
        <v>3595.6831499999998</v>
      </c>
      <c r="K692" t="str">
        <f t="shared" si="30"/>
        <v>2.5%</v>
      </c>
      <c r="L692" t="str">
        <f t="shared" si="31"/>
        <v>Need Improvement</v>
      </c>
      <c r="M692" t="b">
        <f>TRUE()</f>
        <v>1</v>
      </c>
      <c r="N692" t="b">
        <f>FALSE()</f>
        <v>0</v>
      </c>
      <c r="O692" s="18" t="b">
        <f t="shared" si="32"/>
        <v>0</v>
      </c>
    </row>
    <row r="693" spans="1:15" x14ac:dyDescent="0.35">
      <c r="A693">
        <v>41400</v>
      </c>
      <c r="B693">
        <v>2117</v>
      </c>
      <c r="C693" t="s">
        <v>26</v>
      </c>
      <c r="D693" t="s">
        <v>32</v>
      </c>
      <c r="E693" t="s">
        <v>29</v>
      </c>
      <c r="F693">
        <v>8</v>
      </c>
      <c r="G693">
        <v>2988</v>
      </c>
      <c r="H693">
        <v>5837.0579999999991</v>
      </c>
      <c r="K693" t="str">
        <f t="shared" si="30"/>
        <v>1.5%</v>
      </c>
      <c r="L693" t="str">
        <f t="shared" si="31"/>
        <v>Good</v>
      </c>
      <c r="M693" t="b">
        <f>TRUE()</f>
        <v>1</v>
      </c>
      <c r="N693" t="b">
        <f>FALSE()</f>
        <v>0</v>
      </c>
      <c r="O693" s="18" t="b">
        <f t="shared" si="32"/>
        <v>0</v>
      </c>
    </row>
    <row r="694" spans="1:15" x14ac:dyDescent="0.35">
      <c r="A694">
        <v>41401</v>
      </c>
      <c r="B694">
        <v>1753</v>
      </c>
      <c r="C694" t="s">
        <v>23</v>
      </c>
      <c r="D694" t="s">
        <v>32</v>
      </c>
      <c r="E694" t="s">
        <v>28</v>
      </c>
      <c r="F694">
        <v>7</v>
      </c>
      <c r="G694">
        <v>12075</v>
      </c>
      <c r="H694">
        <v>1492.47</v>
      </c>
      <c r="K694" t="str">
        <f t="shared" si="30"/>
        <v>5%</v>
      </c>
      <c r="L694" t="str">
        <f t="shared" si="31"/>
        <v>Good</v>
      </c>
      <c r="M694" t="b">
        <f>TRUE()</f>
        <v>1</v>
      </c>
      <c r="N694" t="b">
        <f>FALSE()</f>
        <v>0</v>
      </c>
      <c r="O694" s="18" t="b">
        <f t="shared" si="32"/>
        <v>0</v>
      </c>
    </row>
    <row r="695" spans="1:15" x14ac:dyDescent="0.35">
      <c r="A695">
        <v>41767</v>
      </c>
      <c r="B695">
        <v>1754</v>
      </c>
      <c r="C695" t="s">
        <v>26</v>
      </c>
      <c r="D695" t="s">
        <v>32</v>
      </c>
      <c r="E695" t="s">
        <v>28</v>
      </c>
      <c r="F695">
        <v>6</v>
      </c>
      <c r="G695">
        <v>6885</v>
      </c>
      <c r="H695">
        <v>2666.5604999999996</v>
      </c>
      <c r="K695" t="str">
        <f t="shared" si="30"/>
        <v>2.5%</v>
      </c>
      <c r="L695" t="str">
        <f t="shared" si="31"/>
        <v>Need Improvement</v>
      </c>
      <c r="M695" t="b">
        <f>TRUE()</f>
        <v>1</v>
      </c>
      <c r="N695" t="b">
        <f>FALSE()</f>
        <v>0</v>
      </c>
      <c r="O695" s="18" t="b">
        <f t="shared" si="32"/>
        <v>0</v>
      </c>
    </row>
    <row r="696" spans="1:15" x14ac:dyDescent="0.35">
      <c r="A696">
        <v>41768</v>
      </c>
      <c r="B696">
        <v>1755</v>
      </c>
      <c r="C696" t="s">
        <v>27</v>
      </c>
      <c r="D696" t="s">
        <v>32</v>
      </c>
      <c r="E696" t="s">
        <v>29</v>
      </c>
      <c r="F696">
        <v>7</v>
      </c>
      <c r="G696">
        <v>12075</v>
      </c>
      <c r="H696">
        <v>3560.6760000000004</v>
      </c>
      <c r="K696" t="str">
        <f t="shared" si="30"/>
        <v>5%</v>
      </c>
      <c r="L696" t="str">
        <f t="shared" si="31"/>
        <v>Good</v>
      </c>
      <c r="M696" t="b">
        <f>TRUE()</f>
        <v>1</v>
      </c>
      <c r="N696" t="b">
        <f>FALSE()</f>
        <v>0</v>
      </c>
      <c r="O696" s="18" t="b">
        <f t="shared" si="32"/>
        <v>0</v>
      </c>
    </row>
    <row r="697" spans="1:15" x14ac:dyDescent="0.35">
      <c r="A697">
        <v>41769</v>
      </c>
      <c r="B697">
        <v>1756</v>
      </c>
      <c r="C697" t="s">
        <v>23</v>
      </c>
      <c r="D697" t="s">
        <v>32</v>
      </c>
      <c r="E697" t="s">
        <v>29</v>
      </c>
      <c r="F697">
        <v>8</v>
      </c>
      <c r="G697">
        <v>9312</v>
      </c>
      <c r="H697">
        <v>2769.1560000000004</v>
      </c>
      <c r="K697" t="str">
        <f t="shared" si="30"/>
        <v>2.5%</v>
      </c>
      <c r="L697" t="str">
        <f t="shared" si="31"/>
        <v>Need Improvement</v>
      </c>
      <c r="M697" t="b">
        <f>TRUE()</f>
        <v>1</v>
      </c>
      <c r="N697" t="b">
        <f>FALSE()</f>
        <v>0</v>
      </c>
      <c r="O697" s="18" t="b">
        <f t="shared" si="32"/>
        <v>0</v>
      </c>
    </row>
    <row r="698" spans="1:15" x14ac:dyDescent="0.35">
      <c r="A698">
        <v>41770</v>
      </c>
      <c r="B698">
        <v>1757</v>
      </c>
      <c r="C698" t="s">
        <v>26</v>
      </c>
      <c r="D698" t="s">
        <v>32</v>
      </c>
      <c r="E698" t="s">
        <v>29</v>
      </c>
      <c r="F698">
        <v>10</v>
      </c>
      <c r="G698">
        <v>1515</v>
      </c>
      <c r="H698">
        <v>1805.2740000000001</v>
      </c>
      <c r="K698" t="str">
        <f t="shared" si="30"/>
        <v>1.5%</v>
      </c>
      <c r="L698" t="str">
        <f t="shared" si="31"/>
        <v>Need Improvement</v>
      </c>
      <c r="M698" t="b">
        <f>TRUE()</f>
        <v>1</v>
      </c>
      <c r="N698" t="b">
        <f>FALSE()</f>
        <v>0</v>
      </c>
      <c r="O698" s="18" t="b">
        <f t="shared" si="32"/>
        <v>0</v>
      </c>
    </row>
    <row r="699" spans="1:15" x14ac:dyDescent="0.35">
      <c r="A699">
        <v>41771</v>
      </c>
      <c r="B699">
        <v>2127</v>
      </c>
      <c r="C699" t="s">
        <v>27</v>
      </c>
      <c r="D699" t="s">
        <v>32</v>
      </c>
      <c r="E699" t="s">
        <v>25</v>
      </c>
      <c r="F699">
        <v>9</v>
      </c>
      <c r="G699">
        <v>9247.5</v>
      </c>
      <c r="H699">
        <v>3758.1840000000002</v>
      </c>
      <c r="K699" t="str">
        <f t="shared" si="30"/>
        <v>2.5%</v>
      </c>
      <c r="L699" t="str">
        <f t="shared" si="31"/>
        <v>Need Improvement</v>
      </c>
      <c r="M699" t="b">
        <f>TRUE()</f>
        <v>1</v>
      </c>
      <c r="N699" t="b">
        <f>FALSE()</f>
        <v>0</v>
      </c>
      <c r="O699" s="18" t="b">
        <f t="shared" si="32"/>
        <v>0</v>
      </c>
    </row>
    <row r="700" spans="1:15" x14ac:dyDescent="0.35">
      <c r="A700">
        <v>41772</v>
      </c>
      <c r="B700">
        <v>2128</v>
      </c>
      <c r="C700" t="s">
        <v>23</v>
      </c>
      <c r="D700" t="s">
        <v>32</v>
      </c>
      <c r="E700" t="s">
        <v>25</v>
      </c>
      <c r="F700">
        <v>7</v>
      </c>
      <c r="G700">
        <v>6237</v>
      </c>
      <c r="H700">
        <v>2046.9834000000001</v>
      </c>
      <c r="K700" t="str">
        <f t="shared" si="30"/>
        <v>2.5%</v>
      </c>
      <c r="L700" t="str">
        <f t="shared" si="31"/>
        <v>Need Improvement</v>
      </c>
      <c r="M700" t="b">
        <f>TRUE()</f>
        <v>1</v>
      </c>
      <c r="N700" t="b">
        <f>FALSE()</f>
        <v>0</v>
      </c>
      <c r="O700" s="18" t="b">
        <f t="shared" si="32"/>
        <v>0</v>
      </c>
    </row>
    <row r="701" spans="1:15" x14ac:dyDescent="0.35">
      <c r="A701">
        <v>41773</v>
      </c>
      <c r="B701">
        <v>2129</v>
      </c>
      <c r="C701" t="s">
        <v>26</v>
      </c>
      <c r="D701" t="s">
        <v>32</v>
      </c>
      <c r="E701" t="s">
        <v>25</v>
      </c>
      <c r="F701">
        <v>8</v>
      </c>
      <c r="G701">
        <v>7056</v>
      </c>
      <c r="H701">
        <v>617.57640000000004</v>
      </c>
      <c r="K701" t="str">
        <f t="shared" si="30"/>
        <v>2.5%</v>
      </c>
      <c r="L701" t="str">
        <f t="shared" si="31"/>
        <v>Need Improvement</v>
      </c>
      <c r="M701" t="b">
        <f>TRUE()</f>
        <v>1</v>
      </c>
      <c r="N701" t="b">
        <f>FALSE()</f>
        <v>0</v>
      </c>
      <c r="O701" s="18" t="b">
        <f t="shared" si="32"/>
        <v>0</v>
      </c>
    </row>
    <row r="702" spans="1:15" x14ac:dyDescent="0.35">
      <c r="A702">
        <v>41774</v>
      </c>
      <c r="B702">
        <v>2130</v>
      </c>
      <c r="C702" t="s">
        <v>27</v>
      </c>
      <c r="D702" t="s">
        <v>32</v>
      </c>
      <c r="E702" t="s">
        <v>28</v>
      </c>
      <c r="F702">
        <v>8</v>
      </c>
      <c r="G702">
        <v>7152</v>
      </c>
      <c r="H702">
        <v>3874.5960000000005</v>
      </c>
      <c r="K702" t="str">
        <f t="shared" si="30"/>
        <v>2.5%</v>
      </c>
      <c r="L702" t="str">
        <f t="shared" si="31"/>
        <v>Need Improvement</v>
      </c>
      <c r="M702" t="b">
        <f>TRUE()</f>
        <v>1</v>
      </c>
      <c r="N702" t="b">
        <f>FALSE()</f>
        <v>0</v>
      </c>
      <c r="O702" s="18" t="b">
        <f t="shared" si="32"/>
        <v>0</v>
      </c>
    </row>
    <row r="703" spans="1:15" x14ac:dyDescent="0.35">
      <c r="A703">
        <v>41775</v>
      </c>
      <c r="B703">
        <v>2131</v>
      </c>
      <c r="C703" t="s">
        <v>23</v>
      </c>
      <c r="D703" t="s">
        <v>32</v>
      </c>
      <c r="E703" t="s">
        <v>28</v>
      </c>
      <c r="F703">
        <v>8</v>
      </c>
      <c r="G703">
        <v>2844</v>
      </c>
      <c r="H703">
        <v>2884.6691999999998</v>
      </c>
      <c r="K703" t="str">
        <f t="shared" si="30"/>
        <v>1.5%</v>
      </c>
      <c r="L703" t="str">
        <f t="shared" si="31"/>
        <v>Need Improvement</v>
      </c>
      <c r="M703" t="b">
        <f>TRUE()</f>
        <v>1</v>
      </c>
      <c r="N703" t="b">
        <f>FALSE()</f>
        <v>0</v>
      </c>
      <c r="O703" s="18" t="b">
        <f t="shared" si="32"/>
        <v>0</v>
      </c>
    </row>
    <row r="704" spans="1:15" x14ac:dyDescent="0.35">
      <c r="A704">
        <v>41776</v>
      </c>
      <c r="B704">
        <v>1767</v>
      </c>
      <c r="C704" t="s">
        <v>27</v>
      </c>
      <c r="D704" t="s">
        <v>32</v>
      </c>
      <c r="E704" t="s">
        <v>25</v>
      </c>
      <c r="F704">
        <v>9</v>
      </c>
      <c r="G704">
        <v>4347</v>
      </c>
      <c r="H704">
        <v>4315.4842500000004</v>
      </c>
      <c r="K704" t="str">
        <f t="shared" si="30"/>
        <v>1.5%</v>
      </c>
      <c r="L704" t="str">
        <f t="shared" si="31"/>
        <v>Need Improvement</v>
      </c>
      <c r="M704" t="b">
        <f>TRUE()</f>
        <v>1</v>
      </c>
      <c r="N704" t="b">
        <f>FALSE()</f>
        <v>0</v>
      </c>
      <c r="O704" s="18" t="b">
        <f t="shared" si="32"/>
        <v>0</v>
      </c>
    </row>
    <row r="705" spans="1:15" x14ac:dyDescent="0.35">
      <c r="A705">
        <v>41777</v>
      </c>
      <c r="B705">
        <v>2132</v>
      </c>
      <c r="C705" t="s">
        <v>26</v>
      </c>
      <c r="D705" t="s">
        <v>32</v>
      </c>
      <c r="E705" t="s">
        <v>28</v>
      </c>
      <c r="F705">
        <v>9</v>
      </c>
      <c r="G705">
        <v>10764</v>
      </c>
      <c r="H705">
        <v>3164.616</v>
      </c>
      <c r="K705" t="str">
        <f t="shared" si="30"/>
        <v>5%</v>
      </c>
      <c r="L705" t="str">
        <f t="shared" si="31"/>
        <v>Good</v>
      </c>
      <c r="M705" t="b">
        <f>TRUE()</f>
        <v>1</v>
      </c>
      <c r="N705" t="b">
        <f>FALSE()</f>
        <v>0</v>
      </c>
      <c r="O705" s="18" t="b">
        <f t="shared" si="32"/>
        <v>0</v>
      </c>
    </row>
    <row r="706" spans="1:15" x14ac:dyDescent="0.35">
      <c r="A706">
        <v>41778</v>
      </c>
      <c r="B706">
        <v>1768</v>
      </c>
      <c r="C706" t="s">
        <v>23</v>
      </c>
      <c r="D706" t="s">
        <v>32</v>
      </c>
      <c r="E706" t="s">
        <v>25</v>
      </c>
      <c r="F706">
        <v>9</v>
      </c>
      <c r="G706">
        <v>1755</v>
      </c>
      <c r="H706">
        <v>1889.0819999999999</v>
      </c>
      <c r="K706" t="str">
        <f t="shared" si="30"/>
        <v>1.5%</v>
      </c>
      <c r="L706" t="str">
        <f t="shared" si="31"/>
        <v>Need Improvement</v>
      </c>
      <c r="M706" t="b">
        <f>TRUE()</f>
        <v>1</v>
      </c>
      <c r="N706" t="b">
        <f>FALSE()</f>
        <v>0</v>
      </c>
      <c r="O706" s="18" t="b">
        <f t="shared" si="32"/>
        <v>0</v>
      </c>
    </row>
    <row r="707" spans="1:15" x14ac:dyDescent="0.35">
      <c r="A707">
        <v>41779</v>
      </c>
      <c r="B707">
        <v>2133</v>
      </c>
      <c r="C707" t="s">
        <v>27</v>
      </c>
      <c r="D707" t="s">
        <v>32</v>
      </c>
      <c r="E707" t="s">
        <v>29</v>
      </c>
      <c r="F707">
        <v>7</v>
      </c>
      <c r="G707">
        <v>1701</v>
      </c>
      <c r="H707">
        <v>1430.8811999999998</v>
      </c>
      <c r="K707" t="str">
        <f t="shared" ref="K707:K770" si="33">IF(G707&gt;10000,"5%",IF(AND(G707&gt;=5000,G707&lt;10000),"2.5%","1.5%"))</f>
        <v>1.5%</v>
      </c>
      <c r="L707" t="str">
        <f t="shared" ref="L707:L770" si="34">IF(OR(G707&gt;10000,H707&gt;=5000),"Good","Need Improvement")</f>
        <v>Need Improvement</v>
      </c>
      <c r="M707" t="b">
        <f>TRUE()</f>
        <v>1</v>
      </c>
      <c r="N707" t="b">
        <f>FALSE()</f>
        <v>0</v>
      </c>
      <c r="O707" s="18" t="b">
        <f t="shared" ref="O707:O770" si="35">NOT(M707)</f>
        <v>0</v>
      </c>
    </row>
    <row r="708" spans="1:15" x14ac:dyDescent="0.35">
      <c r="A708">
        <v>41780</v>
      </c>
      <c r="B708">
        <v>1769</v>
      </c>
      <c r="C708" t="s">
        <v>26</v>
      </c>
      <c r="D708" t="s">
        <v>32</v>
      </c>
      <c r="E708" t="s">
        <v>25</v>
      </c>
      <c r="F708">
        <v>8</v>
      </c>
      <c r="G708">
        <v>6240</v>
      </c>
      <c r="H708">
        <v>1462.5</v>
      </c>
      <c r="K708" t="str">
        <f t="shared" si="33"/>
        <v>2.5%</v>
      </c>
      <c r="L708" t="str">
        <f t="shared" si="34"/>
        <v>Need Improvement</v>
      </c>
      <c r="M708" t="b">
        <f>TRUE()</f>
        <v>1</v>
      </c>
      <c r="N708" t="b">
        <f>FALSE()</f>
        <v>0</v>
      </c>
      <c r="O708" s="18" t="b">
        <f t="shared" si="35"/>
        <v>0</v>
      </c>
    </row>
    <row r="709" spans="1:15" x14ac:dyDescent="0.35">
      <c r="A709">
        <v>41781</v>
      </c>
      <c r="B709">
        <v>2134</v>
      </c>
      <c r="C709" t="s">
        <v>23</v>
      </c>
      <c r="D709" t="s">
        <v>32</v>
      </c>
      <c r="E709" t="s">
        <v>29</v>
      </c>
      <c r="F709">
        <v>9</v>
      </c>
      <c r="G709">
        <v>7533</v>
      </c>
      <c r="H709">
        <v>3037.3056000000001</v>
      </c>
      <c r="K709" t="str">
        <f t="shared" si="33"/>
        <v>2.5%</v>
      </c>
      <c r="L709" t="str">
        <f t="shared" si="34"/>
        <v>Need Improvement</v>
      </c>
      <c r="M709" t="b">
        <f>TRUE()</f>
        <v>1</v>
      </c>
      <c r="N709" t="b">
        <f>FALSE()</f>
        <v>0</v>
      </c>
      <c r="O709" s="18" t="b">
        <f t="shared" si="35"/>
        <v>0</v>
      </c>
    </row>
    <row r="710" spans="1:15" x14ac:dyDescent="0.35">
      <c r="A710">
        <v>41782</v>
      </c>
      <c r="B710">
        <v>1770</v>
      </c>
      <c r="C710" t="s">
        <v>27</v>
      </c>
      <c r="D710" t="s">
        <v>32</v>
      </c>
      <c r="E710" t="s">
        <v>28</v>
      </c>
      <c r="F710">
        <v>8</v>
      </c>
      <c r="G710">
        <v>2604</v>
      </c>
      <c r="H710">
        <v>1796.7599999999998</v>
      </c>
      <c r="K710" t="str">
        <f t="shared" si="33"/>
        <v>1.5%</v>
      </c>
      <c r="L710" t="str">
        <f t="shared" si="34"/>
        <v>Need Improvement</v>
      </c>
      <c r="M710" t="b">
        <f>TRUE()</f>
        <v>1</v>
      </c>
      <c r="N710" t="b">
        <f>FALSE()</f>
        <v>0</v>
      </c>
      <c r="O710" s="18" t="b">
        <f t="shared" si="35"/>
        <v>0</v>
      </c>
    </row>
    <row r="711" spans="1:15" x14ac:dyDescent="0.35">
      <c r="A711">
        <v>41783</v>
      </c>
      <c r="B711">
        <v>2135</v>
      </c>
      <c r="C711" t="s">
        <v>26</v>
      </c>
      <c r="D711" t="s">
        <v>32</v>
      </c>
      <c r="E711" t="s">
        <v>29</v>
      </c>
      <c r="F711">
        <v>6</v>
      </c>
      <c r="G711">
        <v>9216</v>
      </c>
      <c r="H711">
        <v>3578.5727999999995</v>
      </c>
      <c r="K711" t="str">
        <f t="shared" si="33"/>
        <v>2.5%</v>
      </c>
      <c r="L711" t="str">
        <f t="shared" si="34"/>
        <v>Need Improvement</v>
      </c>
      <c r="M711" t="b">
        <f>TRUE()</f>
        <v>1</v>
      </c>
      <c r="N711" t="b">
        <f>FALSE()</f>
        <v>0</v>
      </c>
      <c r="O711" s="18" t="b">
        <f t="shared" si="35"/>
        <v>0</v>
      </c>
    </row>
    <row r="712" spans="1:15" x14ac:dyDescent="0.35">
      <c r="A712">
        <v>41784</v>
      </c>
      <c r="B712">
        <v>1771</v>
      </c>
      <c r="C712" t="s">
        <v>23</v>
      </c>
      <c r="D712" t="s">
        <v>32</v>
      </c>
      <c r="E712" t="s">
        <v>28</v>
      </c>
      <c r="F712">
        <v>7</v>
      </c>
      <c r="G712">
        <v>8400</v>
      </c>
      <c r="H712">
        <v>1267.98</v>
      </c>
      <c r="K712" t="str">
        <f t="shared" si="33"/>
        <v>2.5%</v>
      </c>
      <c r="L712" t="str">
        <f t="shared" si="34"/>
        <v>Need Improvement</v>
      </c>
      <c r="M712" t="b">
        <f>TRUE()</f>
        <v>1</v>
      </c>
      <c r="N712" t="b">
        <f>FALSE()</f>
        <v>0</v>
      </c>
      <c r="O712" s="18" t="b">
        <f t="shared" si="35"/>
        <v>0</v>
      </c>
    </row>
    <row r="713" spans="1:15" x14ac:dyDescent="0.35">
      <c r="A713">
        <v>41785</v>
      </c>
      <c r="B713">
        <v>2136</v>
      </c>
      <c r="C713" t="s">
        <v>27</v>
      </c>
      <c r="D713" t="s">
        <v>32</v>
      </c>
      <c r="E713" t="s">
        <v>25</v>
      </c>
      <c r="F713">
        <v>8</v>
      </c>
      <c r="G713">
        <v>9900</v>
      </c>
      <c r="H713">
        <v>2138.9940000000001</v>
      </c>
      <c r="K713" t="str">
        <f t="shared" si="33"/>
        <v>2.5%</v>
      </c>
      <c r="L713" t="str">
        <f t="shared" si="34"/>
        <v>Need Improvement</v>
      </c>
      <c r="M713" t="b">
        <f>TRUE()</f>
        <v>1</v>
      </c>
      <c r="N713" t="b">
        <f>FALSE()</f>
        <v>0</v>
      </c>
      <c r="O713" s="18" t="b">
        <f t="shared" si="35"/>
        <v>0</v>
      </c>
    </row>
    <row r="714" spans="1:15" x14ac:dyDescent="0.35">
      <c r="A714">
        <v>41786</v>
      </c>
      <c r="B714">
        <v>1772</v>
      </c>
      <c r="C714" t="s">
        <v>26</v>
      </c>
      <c r="D714" t="s">
        <v>32</v>
      </c>
      <c r="E714" t="s">
        <v>28</v>
      </c>
      <c r="F714">
        <v>10</v>
      </c>
      <c r="G714">
        <v>7980</v>
      </c>
      <c r="H714">
        <v>2863.2240000000002</v>
      </c>
      <c r="K714" t="str">
        <f t="shared" si="33"/>
        <v>2.5%</v>
      </c>
      <c r="L714" t="str">
        <f t="shared" si="34"/>
        <v>Need Improvement</v>
      </c>
      <c r="M714" t="b">
        <f>TRUE()</f>
        <v>1</v>
      </c>
      <c r="N714" t="b">
        <f>FALSE()</f>
        <v>0</v>
      </c>
      <c r="O714" s="18" t="b">
        <f t="shared" si="35"/>
        <v>0</v>
      </c>
    </row>
    <row r="715" spans="1:15" x14ac:dyDescent="0.35">
      <c r="A715">
        <v>41787</v>
      </c>
      <c r="B715">
        <v>2137</v>
      </c>
      <c r="C715" t="s">
        <v>23</v>
      </c>
      <c r="D715" t="s">
        <v>32</v>
      </c>
      <c r="E715" t="s">
        <v>25</v>
      </c>
      <c r="F715">
        <v>6</v>
      </c>
      <c r="G715">
        <v>5292</v>
      </c>
      <c r="H715">
        <v>1144.1303999999998</v>
      </c>
      <c r="K715" t="str">
        <f t="shared" si="33"/>
        <v>2.5%</v>
      </c>
      <c r="L715" t="str">
        <f t="shared" si="34"/>
        <v>Need Improvement</v>
      </c>
      <c r="M715" t="b">
        <f>TRUE()</f>
        <v>1</v>
      </c>
      <c r="N715" t="b">
        <f>FALSE()</f>
        <v>0</v>
      </c>
      <c r="O715" s="18" t="b">
        <f t="shared" si="35"/>
        <v>0</v>
      </c>
    </row>
    <row r="716" spans="1:15" x14ac:dyDescent="0.35">
      <c r="A716">
        <v>41788</v>
      </c>
      <c r="B716">
        <v>1773</v>
      </c>
      <c r="C716" t="s">
        <v>27</v>
      </c>
      <c r="D716" t="s">
        <v>32</v>
      </c>
      <c r="E716" t="s">
        <v>29</v>
      </c>
      <c r="F716">
        <v>6</v>
      </c>
      <c r="G716">
        <v>8280</v>
      </c>
      <c r="H716">
        <v>2036.88</v>
      </c>
      <c r="K716" t="str">
        <f t="shared" si="33"/>
        <v>2.5%</v>
      </c>
      <c r="L716" t="str">
        <f t="shared" si="34"/>
        <v>Need Improvement</v>
      </c>
      <c r="M716" t="b">
        <f>TRUE()</f>
        <v>1</v>
      </c>
      <c r="N716" t="b">
        <f>FALSE()</f>
        <v>0</v>
      </c>
      <c r="O716" s="18" t="b">
        <f t="shared" si="35"/>
        <v>0</v>
      </c>
    </row>
    <row r="717" spans="1:15" x14ac:dyDescent="0.35">
      <c r="A717">
        <v>41789</v>
      </c>
      <c r="B717">
        <v>2138</v>
      </c>
      <c r="C717" t="s">
        <v>26</v>
      </c>
      <c r="D717" t="s">
        <v>32</v>
      </c>
      <c r="E717" t="s">
        <v>25</v>
      </c>
      <c r="F717">
        <v>6</v>
      </c>
      <c r="G717">
        <v>2583</v>
      </c>
      <c r="H717">
        <v>4184.4600000000009</v>
      </c>
      <c r="K717" t="str">
        <f t="shared" si="33"/>
        <v>1.5%</v>
      </c>
      <c r="L717" t="str">
        <f t="shared" si="34"/>
        <v>Need Improvement</v>
      </c>
      <c r="M717" t="b">
        <f>TRUE()</f>
        <v>1</v>
      </c>
      <c r="N717" t="b">
        <f>FALSE()</f>
        <v>0</v>
      </c>
      <c r="O717" s="18" t="b">
        <f t="shared" si="35"/>
        <v>0</v>
      </c>
    </row>
    <row r="718" spans="1:15" x14ac:dyDescent="0.35">
      <c r="A718">
        <v>41790</v>
      </c>
      <c r="B718">
        <v>1774</v>
      </c>
      <c r="C718" t="s">
        <v>23</v>
      </c>
      <c r="D718" t="s">
        <v>32</v>
      </c>
      <c r="E718" t="s">
        <v>29</v>
      </c>
      <c r="F718">
        <v>9</v>
      </c>
      <c r="G718">
        <v>11790</v>
      </c>
      <c r="H718">
        <v>2415.0635999999995</v>
      </c>
      <c r="K718" t="str">
        <f t="shared" si="33"/>
        <v>5%</v>
      </c>
      <c r="L718" t="str">
        <f t="shared" si="34"/>
        <v>Good</v>
      </c>
      <c r="M718" t="b">
        <f>TRUE()</f>
        <v>1</v>
      </c>
      <c r="N718" t="b">
        <f>FALSE()</f>
        <v>0</v>
      </c>
      <c r="O718" s="18" t="b">
        <f t="shared" si="35"/>
        <v>0</v>
      </c>
    </row>
    <row r="719" spans="1:15" x14ac:dyDescent="0.35">
      <c r="A719">
        <v>41791</v>
      </c>
      <c r="B719">
        <v>2139</v>
      </c>
      <c r="C719" t="s">
        <v>27</v>
      </c>
      <c r="D719" t="s">
        <v>32</v>
      </c>
      <c r="E719" t="s">
        <v>28</v>
      </c>
      <c r="F719">
        <v>8</v>
      </c>
      <c r="G719">
        <v>7632</v>
      </c>
      <c r="H719">
        <v>1537.5936000000002</v>
      </c>
      <c r="K719" t="str">
        <f t="shared" si="33"/>
        <v>2.5%</v>
      </c>
      <c r="L719" t="str">
        <f t="shared" si="34"/>
        <v>Need Improvement</v>
      </c>
      <c r="M719" t="b">
        <f>TRUE()</f>
        <v>1</v>
      </c>
      <c r="N719" t="b">
        <f>FALSE()</f>
        <v>0</v>
      </c>
      <c r="O719" s="18" t="b">
        <f t="shared" si="35"/>
        <v>0</v>
      </c>
    </row>
    <row r="720" spans="1:15" x14ac:dyDescent="0.35">
      <c r="A720">
        <v>41792</v>
      </c>
      <c r="B720">
        <v>1775</v>
      </c>
      <c r="C720" t="s">
        <v>26</v>
      </c>
      <c r="D720" t="s">
        <v>32</v>
      </c>
      <c r="E720" t="s">
        <v>29</v>
      </c>
      <c r="F720">
        <v>6</v>
      </c>
      <c r="G720">
        <v>9585</v>
      </c>
      <c r="H720">
        <v>3308.7420000000002</v>
      </c>
      <c r="K720" t="str">
        <f t="shared" si="33"/>
        <v>2.5%</v>
      </c>
      <c r="L720" t="str">
        <f t="shared" si="34"/>
        <v>Need Improvement</v>
      </c>
      <c r="M720" t="b">
        <f>TRUE()</f>
        <v>1</v>
      </c>
      <c r="N720" t="b">
        <f>FALSE()</f>
        <v>0</v>
      </c>
      <c r="O720" s="18" t="b">
        <f t="shared" si="35"/>
        <v>0</v>
      </c>
    </row>
    <row r="721" spans="1:15" x14ac:dyDescent="0.35">
      <c r="A721">
        <v>41793</v>
      </c>
      <c r="B721">
        <v>2140</v>
      </c>
      <c r="C721" t="s">
        <v>23</v>
      </c>
      <c r="D721" t="s">
        <v>32</v>
      </c>
      <c r="E721" t="s">
        <v>28</v>
      </c>
      <c r="F721">
        <v>8</v>
      </c>
      <c r="G721">
        <v>8340</v>
      </c>
      <c r="H721">
        <v>3338.5019999999995</v>
      </c>
      <c r="K721" t="str">
        <f t="shared" si="33"/>
        <v>2.5%</v>
      </c>
      <c r="L721" t="str">
        <f t="shared" si="34"/>
        <v>Need Improvement</v>
      </c>
      <c r="M721" t="b">
        <f>TRUE()</f>
        <v>1</v>
      </c>
      <c r="N721" t="b">
        <f>FALSE()</f>
        <v>0</v>
      </c>
      <c r="O721" s="18" t="b">
        <f t="shared" si="35"/>
        <v>0</v>
      </c>
    </row>
    <row r="722" spans="1:15" x14ac:dyDescent="0.35">
      <c r="A722">
        <v>41794</v>
      </c>
      <c r="B722">
        <v>1776</v>
      </c>
      <c r="C722" t="s">
        <v>27</v>
      </c>
      <c r="D722" t="s">
        <v>32</v>
      </c>
      <c r="E722" t="s">
        <v>25</v>
      </c>
      <c r="F722">
        <v>9</v>
      </c>
      <c r="G722">
        <v>7398</v>
      </c>
      <c r="H722">
        <v>2918.511</v>
      </c>
      <c r="K722" t="str">
        <f t="shared" si="33"/>
        <v>2.5%</v>
      </c>
      <c r="L722" t="str">
        <f t="shared" si="34"/>
        <v>Need Improvement</v>
      </c>
      <c r="M722" t="b">
        <f>TRUE()</f>
        <v>1</v>
      </c>
      <c r="N722" t="b">
        <f>FALSE()</f>
        <v>0</v>
      </c>
      <c r="O722" s="18" t="b">
        <f t="shared" si="35"/>
        <v>0</v>
      </c>
    </row>
    <row r="723" spans="1:15" x14ac:dyDescent="0.35">
      <c r="A723">
        <v>41795</v>
      </c>
      <c r="B723">
        <v>2141</v>
      </c>
      <c r="C723" t="s">
        <v>26</v>
      </c>
      <c r="D723" t="s">
        <v>32</v>
      </c>
      <c r="E723" t="s">
        <v>28</v>
      </c>
      <c r="F723">
        <v>8</v>
      </c>
      <c r="G723">
        <v>5232</v>
      </c>
      <c r="H723">
        <v>4387.5551999999998</v>
      </c>
      <c r="K723" t="str">
        <f t="shared" si="33"/>
        <v>2.5%</v>
      </c>
      <c r="L723" t="str">
        <f t="shared" si="34"/>
        <v>Need Improvement</v>
      </c>
      <c r="M723" t="b">
        <f>TRUE()</f>
        <v>1</v>
      </c>
      <c r="N723" t="b">
        <f>FALSE()</f>
        <v>0</v>
      </c>
      <c r="O723" s="18" t="b">
        <f t="shared" si="35"/>
        <v>0</v>
      </c>
    </row>
    <row r="724" spans="1:15" x14ac:dyDescent="0.35">
      <c r="A724">
        <v>41796</v>
      </c>
      <c r="B724">
        <v>1777</v>
      </c>
      <c r="C724" t="s">
        <v>23</v>
      </c>
      <c r="D724" t="s">
        <v>32</v>
      </c>
      <c r="E724" t="s">
        <v>25</v>
      </c>
      <c r="F724">
        <v>7</v>
      </c>
      <c r="G724">
        <v>2063.25</v>
      </c>
      <c r="H724">
        <v>2027.7620999999997</v>
      </c>
      <c r="K724" t="str">
        <f t="shared" si="33"/>
        <v>1.5%</v>
      </c>
      <c r="L724" t="str">
        <f t="shared" si="34"/>
        <v>Need Improvement</v>
      </c>
      <c r="M724" t="b">
        <f>TRUE()</f>
        <v>1</v>
      </c>
      <c r="N724" t="b">
        <f>FALSE()</f>
        <v>0</v>
      </c>
      <c r="O724" s="18" t="b">
        <f t="shared" si="35"/>
        <v>0</v>
      </c>
    </row>
    <row r="725" spans="1:15" x14ac:dyDescent="0.35">
      <c r="A725">
        <v>41797</v>
      </c>
      <c r="B725">
        <v>2142</v>
      </c>
      <c r="C725" t="s">
        <v>27</v>
      </c>
      <c r="D725" t="s">
        <v>32</v>
      </c>
      <c r="E725" t="s">
        <v>29</v>
      </c>
      <c r="F725">
        <v>8</v>
      </c>
      <c r="G725">
        <v>4096</v>
      </c>
      <c r="H725">
        <v>846.4384</v>
      </c>
      <c r="K725" t="str">
        <f t="shared" si="33"/>
        <v>1.5%</v>
      </c>
      <c r="L725" t="str">
        <f t="shared" si="34"/>
        <v>Need Improvement</v>
      </c>
      <c r="M725" t="b">
        <f>TRUE()</f>
        <v>1</v>
      </c>
      <c r="N725" t="b">
        <f>FALSE()</f>
        <v>0</v>
      </c>
      <c r="O725" s="18" t="b">
        <f t="shared" si="35"/>
        <v>0</v>
      </c>
    </row>
    <row r="726" spans="1:15" x14ac:dyDescent="0.35">
      <c r="A726">
        <v>41798</v>
      </c>
      <c r="B726">
        <v>1778</v>
      </c>
      <c r="C726" t="s">
        <v>26</v>
      </c>
      <c r="D726" t="s">
        <v>32</v>
      </c>
      <c r="E726" t="s">
        <v>25</v>
      </c>
      <c r="F726">
        <v>6</v>
      </c>
      <c r="G726">
        <v>1764</v>
      </c>
      <c r="H726">
        <v>2071.2888000000003</v>
      </c>
      <c r="K726" t="str">
        <f t="shared" si="33"/>
        <v>1.5%</v>
      </c>
      <c r="L726" t="str">
        <f t="shared" si="34"/>
        <v>Need Improvement</v>
      </c>
      <c r="M726" t="b">
        <f>TRUE()</f>
        <v>1</v>
      </c>
      <c r="N726" t="b">
        <f>FALSE()</f>
        <v>0</v>
      </c>
      <c r="O726" s="18" t="b">
        <f t="shared" si="35"/>
        <v>0</v>
      </c>
    </row>
    <row r="727" spans="1:15" x14ac:dyDescent="0.35">
      <c r="A727">
        <v>41799</v>
      </c>
      <c r="B727">
        <v>2143</v>
      </c>
      <c r="C727" t="s">
        <v>23</v>
      </c>
      <c r="D727" t="s">
        <v>32</v>
      </c>
      <c r="E727" t="s">
        <v>29</v>
      </c>
      <c r="F727">
        <v>8</v>
      </c>
      <c r="G727">
        <v>4224</v>
      </c>
      <c r="H727">
        <v>1311.9744000000001</v>
      </c>
      <c r="K727" t="str">
        <f t="shared" si="33"/>
        <v>1.5%</v>
      </c>
      <c r="L727" t="str">
        <f t="shared" si="34"/>
        <v>Need Improvement</v>
      </c>
      <c r="M727" t="b">
        <f>TRUE()</f>
        <v>1</v>
      </c>
      <c r="N727" t="b">
        <f>FALSE()</f>
        <v>0</v>
      </c>
      <c r="O727" s="18" t="b">
        <f t="shared" si="35"/>
        <v>0</v>
      </c>
    </row>
    <row r="728" spans="1:15" x14ac:dyDescent="0.35">
      <c r="A728">
        <v>41800</v>
      </c>
      <c r="B728">
        <v>1779</v>
      </c>
      <c r="C728" t="s">
        <v>27</v>
      </c>
      <c r="D728" t="s">
        <v>32</v>
      </c>
      <c r="E728" t="s">
        <v>28</v>
      </c>
      <c r="F728">
        <v>8</v>
      </c>
      <c r="G728">
        <v>9720</v>
      </c>
      <c r="H728">
        <v>1168.7327999999998</v>
      </c>
      <c r="K728" t="str">
        <f t="shared" si="33"/>
        <v>2.5%</v>
      </c>
      <c r="L728" t="str">
        <f t="shared" si="34"/>
        <v>Need Improvement</v>
      </c>
      <c r="M728" t="b">
        <f>TRUE()</f>
        <v>1</v>
      </c>
      <c r="N728" t="b">
        <f>FALSE()</f>
        <v>0</v>
      </c>
      <c r="O728" s="18" t="b">
        <f t="shared" si="35"/>
        <v>0</v>
      </c>
    </row>
    <row r="729" spans="1:15" x14ac:dyDescent="0.35">
      <c r="A729">
        <v>41801</v>
      </c>
      <c r="B729">
        <v>2144</v>
      </c>
      <c r="C729" t="s">
        <v>26</v>
      </c>
      <c r="D729" t="s">
        <v>32</v>
      </c>
      <c r="E729" t="s">
        <v>29</v>
      </c>
      <c r="F729">
        <v>7</v>
      </c>
      <c r="G729">
        <v>1984.5</v>
      </c>
      <c r="H729">
        <v>887.26994999999988</v>
      </c>
      <c r="K729" t="str">
        <f t="shared" si="33"/>
        <v>1.5%</v>
      </c>
      <c r="L729" t="str">
        <f t="shared" si="34"/>
        <v>Need Improvement</v>
      </c>
      <c r="M729" t="b">
        <f>TRUE()</f>
        <v>1</v>
      </c>
      <c r="N729" t="b">
        <f>FALSE()</f>
        <v>0</v>
      </c>
      <c r="O729" s="18" t="b">
        <f t="shared" si="35"/>
        <v>0</v>
      </c>
    </row>
    <row r="730" spans="1:15" x14ac:dyDescent="0.35">
      <c r="A730">
        <v>41802</v>
      </c>
      <c r="B730">
        <v>1780</v>
      </c>
      <c r="C730" t="s">
        <v>23</v>
      </c>
      <c r="D730" t="s">
        <v>32</v>
      </c>
      <c r="E730" t="s">
        <v>28</v>
      </c>
      <c r="F730">
        <v>8</v>
      </c>
      <c r="G730">
        <v>1848</v>
      </c>
      <c r="H730">
        <v>2184.3360000000002</v>
      </c>
      <c r="K730" t="str">
        <f t="shared" si="33"/>
        <v>1.5%</v>
      </c>
      <c r="L730" t="str">
        <f t="shared" si="34"/>
        <v>Need Improvement</v>
      </c>
      <c r="M730" t="b">
        <f>TRUE()</f>
        <v>1</v>
      </c>
      <c r="N730" t="b">
        <f>FALSE()</f>
        <v>0</v>
      </c>
      <c r="O730" s="18" t="b">
        <f t="shared" si="35"/>
        <v>0</v>
      </c>
    </row>
    <row r="731" spans="1:15" x14ac:dyDescent="0.35">
      <c r="A731">
        <v>41803</v>
      </c>
      <c r="B731">
        <v>2145</v>
      </c>
      <c r="C731" t="s">
        <v>27</v>
      </c>
      <c r="D731" t="s">
        <v>32</v>
      </c>
      <c r="E731" t="s">
        <v>25</v>
      </c>
      <c r="F731">
        <v>9</v>
      </c>
      <c r="G731">
        <v>12330</v>
      </c>
      <c r="H731">
        <v>2632.9481999999998</v>
      </c>
      <c r="K731" t="str">
        <f t="shared" si="33"/>
        <v>5%</v>
      </c>
      <c r="L731" t="str">
        <f t="shared" si="34"/>
        <v>Good</v>
      </c>
      <c r="M731" t="b">
        <f>TRUE()</f>
        <v>1</v>
      </c>
      <c r="N731" t="b">
        <f>FALSE()</f>
        <v>0</v>
      </c>
      <c r="O731" s="18" t="b">
        <f t="shared" si="35"/>
        <v>0</v>
      </c>
    </row>
    <row r="732" spans="1:15" x14ac:dyDescent="0.35">
      <c r="A732">
        <v>41804</v>
      </c>
      <c r="B732">
        <v>1781</v>
      </c>
      <c r="C732" t="s">
        <v>26</v>
      </c>
      <c r="D732" t="s">
        <v>32</v>
      </c>
      <c r="E732" t="s">
        <v>28</v>
      </c>
      <c r="F732">
        <v>9</v>
      </c>
      <c r="G732">
        <v>5751</v>
      </c>
      <c r="H732">
        <v>3659.9363999999996</v>
      </c>
      <c r="K732" t="str">
        <f t="shared" si="33"/>
        <v>2.5%</v>
      </c>
      <c r="L732" t="str">
        <f t="shared" si="34"/>
        <v>Need Improvement</v>
      </c>
      <c r="M732" t="b">
        <f>TRUE()</f>
        <v>1</v>
      </c>
      <c r="N732" t="b">
        <f>FALSE()</f>
        <v>0</v>
      </c>
      <c r="O732" s="18" t="b">
        <f t="shared" si="35"/>
        <v>0</v>
      </c>
    </row>
    <row r="733" spans="1:15" x14ac:dyDescent="0.35">
      <c r="A733">
        <v>41805</v>
      </c>
      <c r="B733">
        <v>2146</v>
      </c>
      <c r="C733" t="s">
        <v>23</v>
      </c>
      <c r="D733" t="s">
        <v>32</v>
      </c>
      <c r="E733" t="s">
        <v>25</v>
      </c>
      <c r="F733">
        <v>9</v>
      </c>
      <c r="G733">
        <v>4770</v>
      </c>
      <c r="H733">
        <v>3885.1649999999995</v>
      </c>
      <c r="K733" t="str">
        <f t="shared" si="33"/>
        <v>1.5%</v>
      </c>
      <c r="L733" t="str">
        <f t="shared" si="34"/>
        <v>Need Improvement</v>
      </c>
      <c r="M733" t="b">
        <f>TRUE()</f>
        <v>1</v>
      </c>
      <c r="N733" t="b">
        <f>FALSE()</f>
        <v>0</v>
      </c>
      <c r="O733" s="18" t="b">
        <f t="shared" si="35"/>
        <v>0</v>
      </c>
    </row>
    <row r="734" spans="1:15" x14ac:dyDescent="0.35">
      <c r="A734">
        <v>41806</v>
      </c>
      <c r="B734">
        <v>1782</v>
      </c>
      <c r="C734" t="s">
        <v>27</v>
      </c>
      <c r="D734" t="s">
        <v>32</v>
      </c>
      <c r="E734" t="s">
        <v>29</v>
      </c>
      <c r="F734">
        <v>10</v>
      </c>
      <c r="G734">
        <v>2280</v>
      </c>
      <c r="H734">
        <v>2545.1639999999998</v>
      </c>
      <c r="K734" t="str">
        <f t="shared" si="33"/>
        <v>1.5%</v>
      </c>
      <c r="L734" t="str">
        <f t="shared" si="34"/>
        <v>Need Improvement</v>
      </c>
      <c r="M734" t="b">
        <f>TRUE()</f>
        <v>1</v>
      </c>
      <c r="N734" t="b">
        <f>FALSE()</f>
        <v>0</v>
      </c>
      <c r="O734" s="18" t="b">
        <f t="shared" si="35"/>
        <v>0</v>
      </c>
    </row>
    <row r="735" spans="1:15" x14ac:dyDescent="0.35">
      <c r="A735">
        <v>41807</v>
      </c>
      <c r="B735">
        <v>2147</v>
      </c>
      <c r="C735" t="s">
        <v>26</v>
      </c>
      <c r="D735" t="s">
        <v>32</v>
      </c>
      <c r="E735" t="s">
        <v>25</v>
      </c>
      <c r="F735">
        <v>7</v>
      </c>
      <c r="G735">
        <v>13702.5</v>
      </c>
      <c r="H735">
        <v>2810.1086999999998</v>
      </c>
      <c r="K735" t="str">
        <f t="shared" si="33"/>
        <v>5%</v>
      </c>
      <c r="L735" t="str">
        <f t="shared" si="34"/>
        <v>Good</v>
      </c>
      <c r="M735" t="b">
        <f>TRUE()</f>
        <v>1</v>
      </c>
      <c r="N735" t="b">
        <f>FALSE()</f>
        <v>0</v>
      </c>
      <c r="O735" s="18" t="b">
        <f t="shared" si="35"/>
        <v>0</v>
      </c>
    </row>
    <row r="736" spans="1:15" x14ac:dyDescent="0.35">
      <c r="A736">
        <v>41808</v>
      </c>
      <c r="B736">
        <v>1783</v>
      </c>
      <c r="C736" t="s">
        <v>23</v>
      </c>
      <c r="D736" t="s">
        <v>32</v>
      </c>
      <c r="E736" t="s">
        <v>29</v>
      </c>
      <c r="F736">
        <v>10</v>
      </c>
      <c r="G736">
        <v>7740</v>
      </c>
      <c r="H736">
        <v>819.279</v>
      </c>
      <c r="K736" t="str">
        <f t="shared" si="33"/>
        <v>2.5%</v>
      </c>
      <c r="L736" t="str">
        <f t="shared" si="34"/>
        <v>Need Improvement</v>
      </c>
      <c r="M736" t="b">
        <f>TRUE()</f>
        <v>1</v>
      </c>
      <c r="N736" t="b">
        <f>FALSE()</f>
        <v>0</v>
      </c>
      <c r="O736" s="18" t="b">
        <f t="shared" si="35"/>
        <v>0</v>
      </c>
    </row>
    <row r="737" spans="1:15" x14ac:dyDescent="0.35">
      <c r="A737">
        <v>41809</v>
      </c>
      <c r="B737">
        <v>2148</v>
      </c>
      <c r="C737" t="s">
        <v>27</v>
      </c>
      <c r="D737" t="s">
        <v>32</v>
      </c>
      <c r="E737" t="s">
        <v>28</v>
      </c>
      <c r="F737">
        <v>6</v>
      </c>
      <c r="G737">
        <v>5040</v>
      </c>
      <c r="H737">
        <v>2804.7599999999998</v>
      </c>
      <c r="K737" t="str">
        <f t="shared" si="33"/>
        <v>2.5%</v>
      </c>
      <c r="L737" t="str">
        <f t="shared" si="34"/>
        <v>Need Improvement</v>
      </c>
      <c r="M737" t="b">
        <f>TRUE()</f>
        <v>1</v>
      </c>
      <c r="N737" t="b">
        <f>FALSE()</f>
        <v>0</v>
      </c>
      <c r="O737" s="18" t="b">
        <f t="shared" si="35"/>
        <v>0</v>
      </c>
    </row>
    <row r="738" spans="1:15" x14ac:dyDescent="0.35">
      <c r="A738">
        <v>41810</v>
      </c>
      <c r="B738">
        <v>1784</v>
      </c>
      <c r="C738" t="s">
        <v>26</v>
      </c>
      <c r="D738" t="s">
        <v>32</v>
      </c>
      <c r="E738" t="s">
        <v>29</v>
      </c>
      <c r="F738">
        <v>8</v>
      </c>
      <c r="G738">
        <v>6372</v>
      </c>
      <c r="H738">
        <v>3767.9759999999997</v>
      </c>
      <c r="K738" t="str">
        <f t="shared" si="33"/>
        <v>2.5%</v>
      </c>
      <c r="L738" t="str">
        <f t="shared" si="34"/>
        <v>Need Improvement</v>
      </c>
      <c r="M738" t="b">
        <f>TRUE()</f>
        <v>1</v>
      </c>
      <c r="N738" t="b">
        <f>FALSE()</f>
        <v>0</v>
      </c>
      <c r="O738" s="18" t="b">
        <f t="shared" si="35"/>
        <v>0</v>
      </c>
    </row>
    <row r="739" spans="1:15" x14ac:dyDescent="0.35">
      <c r="A739">
        <v>41811</v>
      </c>
      <c r="B739">
        <v>2149</v>
      </c>
      <c r="C739" t="s">
        <v>23</v>
      </c>
      <c r="D739" t="s">
        <v>32</v>
      </c>
      <c r="E739" t="s">
        <v>28</v>
      </c>
      <c r="F739">
        <v>9</v>
      </c>
      <c r="G739">
        <v>2160</v>
      </c>
      <c r="H739">
        <v>4688.28</v>
      </c>
      <c r="K739" t="str">
        <f t="shared" si="33"/>
        <v>1.5%</v>
      </c>
      <c r="L739" t="str">
        <f t="shared" si="34"/>
        <v>Need Improvement</v>
      </c>
      <c r="M739" t="b">
        <f>TRUE()</f>
        <v>1</v>
      </c>
      <c r="N739" t="b">
        <f>FALSE()</f>
        <v>0</v>
      </c>
      <c r="O739" s="18" t="b">
        <f t="shared" si="35"/>
        <v>0</v>
      </c>
    </row>
    <row r="740" spans="1:15" x14ac:dyDescent="0.35">
      <c r="A740">
        <v>41812</v>
      </c>
      <c r="B740">
        <v>1785</v>
      </c>
      <c r="C740" t="s">
        <v>27</v>
      </c>
      <c r="D740" t="s">
        <v>32</v>
      </c>
      <c r="E740" t="s">
        <v>25</v>
      </c>
      <c r="F740">
        <v>10</v>
      </c>
      <c r="G740">
        <v>7680</v>
      </c>
      <c r="H740">
        <v>3141.6320000000001</v>
      </c>
      <c r="K740" t="str">
        <f t="shared" si="33"/>
        <v>2.5%</v>
      </c>
      <c r="L740" t="str">
        <f t="shared" si="34"/>
        <v>Need Improvement</v>
      </c>
      <c r="M740" t="b">
        <f>TRUE()</f>
        <v>1</v>
      </c>
      <c r="N740" t="b">
        <f>FALSE()</f>
        <v>0</v>
      </c>
      <c r="O740" s="18" t="b">
        <f t="shared" si="35"/>
        <v>0</v>
      </c>
    </row>
    <row r="741" spans="1:15" x14ac:dyDescent="0.35">
      <c r="A741">
        <v>41813</v>
      </c>
      <c r="B741">
        <v>2150</v>
      </c>
      <c r="C741" t="s">
        <v>26</v>
      </c>
      <c r="D741" t="s">
        <v>32</v>
      </c>
      <c r="E741" t="s">
        <v>28</v>
      </c>
      <c r="F741">
        <v>10</v>
      </c>
      <c r="G741">
        <v>4320</v>
      </c>
      <c r="H741">
        <v>3841.3440000000001</v>
      </c>
      <c r="K741" t="str">
        <f t="shared" si="33"/>
        <v>1.5%</v>
      </c>
      <c r="L741" t="str">
        <f t="shared" si="34"/>
        <v>Need Improvement</v>
      </c>
      <c r="M741" t="b">
        <f>TRUE()</f>
        <v>1</v>
      </c>
      <c r="N741" t="b">
        <f>FALSE()</f>
        <v>0</v>
      </c>
      <c r="O741" s="18" t="b">
        <f t="shared" si="35"/>
        <v>0</v>
      </c>
    </row>
    <row r="742" spans="1:15" x14ac:dyDescent="0.35">
      <c r="A742">
        <v>41814</v>
      </c>
      <c r="B742">
        <v>1786</v>
      </c>
      <c r="C742" t="s">
        <v>23</v>
      </c>
      <c r="D742" t="s">
        <v>32</v>
      </c>
      <c r="E742" t="s">
        <v>25</v>
      </c>
      <c r="F742">
        <v>10</v>
      </c>
      <c r="G742">
        <v>11700</v>
      </c>
      <c r="H742">
        <v>2947.4639999999999</v>
      </c>
      <c r="K742" t="str">
        <f t="shared" si="33"/>
        <v>5%</v>
      </c>
      <c r="L742" t="str">
        <f t="shared" si="34"/>
        <v>Good</v>
      </c>
      <c r="M742" t="b">
        <f>TRUE()</f>
        <v>1</v>
      </c>
      <c r="N742" t="b">
        <f>FALSE()</f>
        <v>0</v>
      </c>
      <c r="O742" s="18" t="b">
        <f t="shared" si="35"/>
        <v>0</v>
      </c>
    </row>
    <row r="743" spans="1:15" x14ac:dyDescent="0.35">
      <c r="A743">
        <v>41815</v>
      </c>
      <c r="B743">
        <v>2151</v>
      </c>
      <c r="C743" t="s">
        <v>27</v>
      </c>
      <c r="D743" t="s">
        <v>32</v>
      </c>
      <c r="E743" t="s">
        <v>29</v>
      </c>
      <c r="F743">
        <v>6</v>
      </c>
      <c r="G743">
        <v>4428</v>
      </c>
      <c r="H743">
        <v>1409.8752000000002</v>
      </c>
      <c r="K743" t="str">
        <f t="shared" si="33"/>
        <v>1.5%</v>
      </c>
      <c r="L743" t="str">
        <f t="shared" si="34"/>
        <v>Need Improvement</v>
      </c>
      <c r="M743" t="b">
        <f>TRUE()</f>
        <v>1</v>
      </c>
      <c r="N743" t="b">
        <f>FALSE()</f>
        <v>0</v>
      </c>
      <c r="O743" s="18" t="b">
        <f t="shared" si="35"/>
        <v>0</v>
      </c>
    </row>
    <row r="744" spans="1:15" x14ac:dyDescent="0.35">
      <c r="A744">
        <v>41816</v>
      </c>
      <c r="B744">
        <v>1787</v>
      </c>
      <c r="C744" t="s">
        <v>26</v>
      </c>
      <c r="D744" t="s">
        <v>32</v>
      </c>
      <c r="E744" t="s">
        <v>25</v>
      </c>
      <c r="F744">
        <v>8</v>
      </c>
      <c r="G744">
        <v>11280</v>
      </c>
      <c r="H744">
        <v>819.37920000000008</v>
      </c>
      <c r="K744" t="str">
        <f t="shared" si="33"/>
        <v>5%</v>
      </c>
      <c r="L744" t="str">
        <f t="shared" si="34"/>
        <v>Good</v>
      </c>
      <c r="M744" t="b">
        <f>TRUE()</f>
        <v>1</v>
      </c>
      <c r="N744" t="b">
        <f>FALSE()</f>
        <v>0</v>
      </c>
      <c r="O744" s="18" t="b">
        <f t="shared" si="35"/>
        <v>0</v>
      </c>
    </row>
    <row r="745" spans="1:15" x14ac:dyDescent="0.35">
      <c r="A745">
        <v>41817</v>
      </c>
      <c r="B745">
        <v>2152</v>
      </c>
      <c r="C745" t="s">
        <v>23</v>
      </c>
      <c r="D745" t="s">
        <v>32</v>
      </c>
      <c r="E745" t="s">
        <v>29</v>
      </c>
      <c r="F745">
        <v>6</v>
      </c>
      <c r="G745">
        <v>4333.5</v>
      </c>
      <c r="H745">
        <v>2646.3240000000001</v>
      </c>
      <c r="K745" t="str">
        <f t="shared" si="33"/>
        <v>1.5%</v>
      </c>
      <c r="L745" t="str">
        <f t="shared" si="34"/>
        <v>Need Improvement</v>
      </c>
      <c r="M745" t="b">
        <f>TRUE()</f>
        <v>1</v>
      </c>
      <c r="N745" t="b">
        <f>FALSE()</f>
        <v>0</v>
      </c>
      <c r="O745" s="18" t="b">
        <f t="shared" si="35"/>
        <v>0</v>
      </c>
    </row>
    <row r="746" spans="1:15" x14ac:dyDescent="0.35">
      <c r="A746">
        <v>41818</v>
      </c>
      <c r="B746">
        <v>1788</v>
      </c>
      <c r="C746" t="s">
        <v>27</v>
      </c>
      <c r="D746" t="s">
        <v>32</v>
      </c>
      <c r="E746" t="s">
        <v>28</v>
      </c>
      <c r="F746">
        <v>10</v>
      </c>
      <c r="G746">
        <v>6360</v>
      </c>
      <c r="H746">
        <v>937.88800000000003</v>
      </c>
      <c r="K746" t="str">
        <f t="shared" si="33"/>
        <v>2.5%</v>
      </c>
      <c r="L746" t="str">
        <f t="shared" si="34"/>
        <v>Need Improvement</v>
      </c>
      <c r="M746" t="b">
        <f>TRUE()</f>
        <v>1</v>
      </c>
      <c r="N746" t="b">
        <f>FALSE()</f>
        <v>0</v>
      </c>
      <c r="O746" s="18" t="b">
        <f t="shared" si="35"/>
        <v>0</v>
      </c>
    </row>
    <row r="747" spans="1:15" x14ac:dyDescent="0.35">
      <c r="A747">
        <v>41819</v>
      </c>
      <c r="B747">
        <v>2153</v>
      </c>
      <c r="C747" t="s">
        <v>26</v>
      </c>
      <c r="D747" t="s">
        <v>32</v>
      </c>
      <c r="E747" t="s">
        <v>29</v>
      </c>
      <c r="F747">
        <v>6</v>
      </c>
      <c r="G747">
        <v>4932</v>
      </c>
      <c r="H747">
        <v>2954.0214000000001</v>
      </c>
      <c r="K747" t="str">
        <f t="shared" si="33"/>
        <v>1.5%</v>
      </c>
      <c r="L747" t="str">
        <f t="shared" si="34"/>
        <v>Need Improvement</v>
      </c>
      <c r="M747" t="b">
        <f>TRUE()</f>
        <v>1</v>
      </c>
      <c r="N747" t="b">
        <f>FALSE()</f>
        <v>0</v>
      </c>
      <c r="O747" s="18" t="b">
        <f t="shared" si="35"/>
        <v>0</v>
      </c>
    </row>
    <row r="748" spans="1:15" x14ac:dyDescent="0.35">
      <c r="A748">
        <v>41820</v>
      </c>
      <c r="B748">
        <v>1789</v>
      </c>
      <c r="C748" t="s">
        <v>23</v>
      </c>
      <c r="D748" t="s">
        <v>32</v>
      </c>
      <c r="E748" t="s">
        <v>28</v>
      </c>
      <c r="F748">
        <v>10</v>
      </c>
      <c r="G748">
        <v>5220</v>
      </c>
      <c r="H748">
        <v>1821.258</v>
      </c>
      <c r="K748" t="str">
        <f t="shared" si="33"/>
        <v>2.5%</v>
      </c>
      <c r="L748" t="str">
        <f t="shared" si="34"/>
        <v>Need Improvement</v>
      </c>
      <c r="M748" t="b">
        <f>TRUE()</f>
        <v>1</v>
      </c>
      <c r="N748" t="b">
        <f>FALSE()</f>
        <v>0</v>
      </c>
      <c r="O748" s="18" t="b">
        <f t="shared" si="35"/>
        <v>0</v>
      </c>
    </row>
    <row r="749" spans="1:15" x14ac:dyDescent="0.35">
      <c r="A749">
        <v>41821</v>
      </c>
      <c r="B749">
        <v>1790</v>
      </c>
      <c r="C749" t="s">
        <v>26</v>
      </c>
      <c r="D749" t="s">
        <v>32</v>
      </c>
      <c r="E749" t="s">
        <v>28</v>
      </c>
      <c r="F749">
        <v>7</v>
      </c>
      <c r="G749">
        <v>6709.5</v>
      </c>
      <c r="H749">
        <v>3329.7012</v>
      </c>
      <c r="K749" t="str">
        <f t="shared" si="33"/>
        <v>2.5%</v>
      </c>
      <c r="L749" t="str">
        <f t="shared" si="34"/>
        <v>Need Improvement</v>
      </c>
      <c r="M749" t="b">
        <f>TRUE()</f>
        <v>1</v>
      </c>
      <c r="N749" t="b">
        <f>FALSE()</f>
        <v>0</v>
      </c>
      <c r="O749" s="18" t="b">
        <f t="shared" si="35"/>
        <v>0</v>
      </c>
    </row>
    <row r="750" spans="1:15" x14ac:dyDescent="0.35">
      <c r="A750">
        <v>41822</v>
      </c>
      <c r="B750">
        <v>1791</v>
      </c>
      <c r="C750" t="s">
        <v>27</v>
      </c>
      <c r="D750" t="s">
        <v>32</v>
      </c>
      <c r="E750" t="s">
        <v>29</v>
      </c>
      <c r="F750">
        <v>9</v>
      </c>
      <c r="G750">
        <v>10170</v>
      </c>
      <c r="H750">
        <v>2013.0498000000002</v>
      </c>
      <c r="K750" t="str">
        <f t="shared" si="33"/>
        <v>5%</v>
      </c>
      <c r="L750" t="str">
        <f t="shared" si="34"/>
        <v>Good</v>
      </c>
      <c r="M750" t="b">
        <f>TRUE()</f>
        <v>1</v>
      </c>
      <c r="N750" t="b">
        <f>FALSE()</f>
        <v>0</v>
      </c>
      <c r="O750" s="18" t="b">
        <f t="shared" si="35"/>
        <v>0</v>
      </c>
    </row>
    <row r="751" spans="1:15" x14ac:dyDescent="0.35">
      <c r="A751">
        <v>41823</v>
      </c>
      <c r="B751">
        <v>1792</v>
      </c>
      <c r="C751" t="s">
        <v>23</v>
      </c>
      <c r="D751" t="s">
        <v>32</v>
      </c>
      <c r="E751" t="s">
        <v>29</v>
      </c>
      <c r="F751">
        <v>6</v>
      </c>
      <c r="G751">
        <v>5004</v>
      </c>
      <c r="H751">
        <v>3896.1143999999999</v>
      </c>
      <c r="K751" t="str">
        <f t="shared" si="33"/>
        <v>2.5%</v>
      </c>
      <c r="L751" t="str">
        <f t="shared" si="34"/>
        <v>Need Improvement</v>
      </c>
      <c r="M751" t="b">
        <f>TRUE()</f>
        <v>1</v>
      </c>
      <c r="N751" t="b">
        <f>FALSE()</f>
        <v>0</v>
      </c>
      <c r="O751" s="18" t="b">
        <f t="shared" si="35"/>
        <v>0</v>
      </c>
    </row>
    <row r="752" spans="1:15" x14ac:dyDescent="0.35">
      <c r="A752">
        <v>41824</v>
      </c>
      <c r="B752">
        <v>1793</v>
      </c>
      <c r="C752" t="s">
        <v>26</v>
      </c>
      <c r="D752" t="s">
        <v>32</v>
      </c>
      <c r="E752" t="s">
        <v>29</v>
      </c>
      <c r="F752">
        <v>6</v>
      </c>
      <c r="G752">
        <v>8955</v>
      </c>
      <c r="H752">
        <v>543.74760000000003</v>
      </c>
      <c r="K752" t="str">
        <f t="shared" si="33"/>
        <v>2.5%</v>
      </c>
      <c r="L752" t="str">
        <f t="shared" si="34"/>
        <v>Need Improvement</v>
      </c>
      <c r="M752" t="b">
        <f>TRUE()</f>
        <v>1</v>
      </c>
      <c r="N752" t="b">
        <f>FALSE()</f>
        <v>0</v>
      </c>
      <c r="O752" s="18" t="b">
        <f t="shared" si="35"/>
        <v>0</v>
      </c>
    </row>
    <row r="753" spans="1:15" x14ac:dyDescent="0.35">
      <c r="A753">
        <v>41825</v>
      </c>
      <c r="B753">
        <v>1794</v>
      </c>
      <c r="C753" t="s">
        <v>27</v>
      </c>
      <c r="D753" t="s">
        <v>32</v>
      </c>
      <c r="E753" t="s">
        <v>25</v>
      </c>
      <c r="F753">
        <v>8</v>
      </c>
      <c r="G753">
        <v>6840</v>
      </c>
      <c r="H753">
        <v>957.82799999999986</v>
      </c>
      <c r="K753" t="str">
        <f t="shared" si="33"/>
        <v>2.5%</v>
      </c>
      <c r="L753" t="str">
        <f t="shared" si="34"/>
        <v>Need Improvement</v>
      </c>
      <c r="M753" t="b">
        <f>TRUE()</f>
        <v>1</v>
      </c>
      <c r="N753" t="b">
        <f>FALSE()</f>
        <v>0</v>
      </c>
      <c r="O753" s="18" t="b">
        <f t="shared" si="35"/>
        <v>0</v>
      </c>
    </row>
    <row r="754" spans="1:15" x14ac:dyDescent="0.35">
      <c r="A754">
        <v>41826</v>
      </c>
      <c r="B754">
        <v>2159</v>
      </c>
      <c r="C754" t="s">
        <v>26</v>
      </c>
      <c r="D754" t="s">
        <v>32</v>
      </c>
      <c r="E754" t="s">
        <v>28</v>
      </c>
      <c r="F754">
        <v>6</v>
      </c>
      <c r="G754">
        <v>1530</v>
      </c>
      <c r="H754">
        <v>2558.7720000000004</v>
      </c>
      <c r="K754" t="str">
        <f t="shared" si="33"/>
        <v>1.5%</v>
      </c>
      <c r="L754" t="str">
        <f t="shared" si="34"/>
        <v>Need Improvement</v>
      </c>
      <c r="M754" t="b">
        <f>TRUE()</f>
        <v>1</v>
      </c>
      <c r="N754" t="b">
        <f>FALSE()</f>
        <v>0</v>
      </c>
      <c r="O754" s="18" t="b">
        <f t="shared" si="35"/>
        <v>0</v>
      </c>
    </row>
    <row r="755" spans="1:15" x14ac:dyDescent="0.35">
      <c r="A755">
        <v>41827</v>
      </c>
      <c r="B755">
        <v>1795</v>
      </c>
      <c r="C755" t="s">
        <v>23</v>
      </c>
      <c r="D755" t="s">
        <v>32</v>
      </c>
      <c r="E755" t="s">
        <v>25</v>
      </c>
      <c r="F755">
        <v>8</v>
      </c>
      <c r="G755">
        <v>10080</v>
      </c>
      <c r="H755">
        <v>1384.992</v>
      </c>
      <c r="K755" t="str">
        <f t="shared" si="33"/>
        <v>5%</v>
      </c>
      <c r="L755" t="str">
        <f t="shared" si="34"/>
        <v>Good</v>
      </c>
      <c r="M755" t="b">
        <f>TRUE()</f>
        <v>1</v>
      </c>
      <c r="N755" t="b">
        <f>FALSE()</f>
        <v>0</v>
      </c>
      <c r="O755" s="18" t="b">
        <f t="shared" si="35"/>
        <v>0</v>
      </c>
    </row>
    <row r="756" spans="1:15" x14ac:dyDescent="0.35">
      <c r="A756">
        <v>41828</v>
      </c>
      <c r="B756">
        <v>2160</v>
      </c>
      <c r="C756" t="s">
        <v>27</v>
      </c>
      <c r="D756" t="s">
        <v>32</v>
      </c>
      <c r="E756" t="s">
        <v>29</v>
      </c>
      <c r="F756">
        <v>6</v>
      </c>
      <c r="G756">
        <v>10755</v>
      </c>
      <c r="H756">
        <v>1669.1760000000002</v>
      </c>
      <c r="K756" t="str">
        <f t="shared" si="33"/>
        <v>5%</v>
      </c>
      <c r="L756" t="str">
        <f t="shared" si="34"/>
        <v>Good</v>
      </c>
      <c r="M756" t="b">
        <f>TRUE()</f>
        <v>1</v>
      </c>
      <c r="N756" t="b">
        <f>FALSE()</f>
        <v>0</v>
      </c>
      <c r="O756" s="18" t="b">
        <f t="shared" si="35"/>
        <v>0</v>
      </c>
    </row>
    <row r="757" spans="1:15" x14ac:dyDescent="0.35">
      <c r="A757">
        <v>41829</v>
      </c>
      <c r="B757">
        <v>1796</v>
      </c>
      <c r="C757" t="s">
        <v>26</v>
      </c>
      <c r="D757" t="s">
        <v>32</v>
      </c>
      <c r="E757" t="s">
        <v>25</v>
      </c>
      <c r="F757">
        <v>10</v>
      </c>
      <c r="G757">
        <v>14025</v>
      </c>
      <c r="H757">
        <v>2904.0164999999997</v>
      </c>
      <c r="K757" t="str">
        <f t="shared" si="33"/>
        <v>5%</v>
      </c>
      <c r="L757" t="str">
        <f t="shared" si="34"/>
        <v>Good</v>
      </c>
      <c r="M757" t="b">
        <f>TRUE()</f>
        <v>1</v>
      </c>
      <c r="N757" t="b">
        <f>FALSE()</f>
        <v>0</v>
      </c>
      <c r="O757" s="18" t="b">
        <f t="shared" si="35"/>
        <v>0</v>
      </c>
    </row>
    <row r="758" spans="1:15" x14ac:dyDescent="0.35">
      <c r="A758">
        <v>40909</v>
      </c>
      <c r="B758">
        <v>2161</v>
      </c>
      <c r="C758" t="s">
        <v>23</v>
      </c>
      <c r="D758" t="s">
        <v>33</v>
      </c>
      <c r="E758" t="s">
        <v>29</v>
      </c>
      <c r="F758">
        <v>7</v>
      </c>
      <c r="G758">
        <v>9870</v>
      </c>
      <c r="H758">
        <v>1342.7148</v>
      </c>
      <c r="K758" t="str">
        <f t="shared" si="33"/>
        <v>2.5%</v>
      </c>
      <c r="L758" t="str">
        <f t="shared" si="34"/>
        <v>Need Improvement</v>
      </c>
      <c r="M758" t="b">
        <f>TRUE()</f>
        <v>1</v>
      </c>
      <c r="N758" t="b">
        <f>FALSE()</f>
        <v>0</v>
      </c>
      <c r="O758" s="18" t="b">
        <f t="shared" si="35"/>
        <v>0</v>
      </c>
    </row>
    <row r="759" spans="1:15" x14ac:dyDescent="0.35">
      <c r="A759">
        <v>40910</v>
      </c>
      <c r="B759">
        <v>1797</v>
      </c>
      <c r="C759" t="s">
        <v>27</v>
      </c>
      <c r="D759" t="s">
        <v>33</v>
      </c>
      <c r="E759" t="s">
        <v>28</v>
      </c>
      <c r="F759">
        <v>9</v>
      </c>
      <c r="G759">
        <v>2092.5</v>
      </c>
      <c r="H759">
        <v>1782.81</v>
      </c>
      <c r="K759" t="str">
        <f t="shared" si="33"/>
        <v>1.5%</v>
      </c>
      <c r="L759" t="str">
        <f t="shared" si="34"/>
        <v>Need Improvement</v>
      </c>
      <c r="M759" t="b">
        <f>TRUE()</f>
        <v>1</v>
      </c>
      <c r="N759" t="b">
        <f>FALSE()</f>
        <v>0</v>
      </c>
      <c r="O759" s="18" t="b">
        <f t="shared" si="35"/>
        <v>0</v>
      </c>
    </row>
    <row r="760" spans="1:15" x14ac:dyDescent="0.35">
      <c r="A760">
        <v>40911</v>
      </c>
      <c r="B760">
        <v>2162</v>
      </c>
      <c r="C760" t="s">
        <v>26</v>
      </c>
      <c r="D760" t="s">
        <v>33</v>
      </c>
      <c r="E760" t="s">
        <v>29</v>
      </c>
      <c r="F760">
        <v>7</v>
      </c>
      <c r="G760">
        <v>4158</v>
      </c>
      <c r="H760">
        <v>816.83910000000003</v>
      </c>
      <c r="K760" t="str">
        <f t="shared" si="33"/>
        <v>1.5%</v>
      </c>
      <c r="L760" t="str">
        <f t="shared" si="34"/>
        <v>Need Improvement</v>
      </c>
      <c r="M760" t="b">
        <f>TRUE()</f>
        <v>1</v>
      </c>
      <c r="N760" t="b">
        <f>FALSE()</f>
        <v>0</v>
      </c>
      <c r="O760" s="18" t="b">
        <f t="shared" si="35"/>
        <v>0</v>
      </c>
    </row>
    <row r="761" spans="1:15" x14ac:dyDescent="0.35">
      <c r="A761">
        <v>40913</v>
      </c>
      <c r="B761">
        <v>1798</v>
      </c>
      <c r="C761" t="s">
        <v>23</v>
      </c>
      <c r="D761" t="s">
        <v>33</v>
      </c>
      <c r="E761" t="s">
        <v>28</v>
      </c>
      <c r="F761">
        <v>6</v>
      </c>
      <c r="G761">
        <v>7506</v>
      </c>
      <c r="H761">
        <v>2502.5003999999999</v>
      </c>
      <c r="K761" t="str">
        <f t="shared" si="33"/>
        <v>2.5%</v>
      </c>
      <c r="L761" t="str">
        <f t="shared" si="34"/>
        <v>Need Improvement</v>
      </c>
      <c r="M761" t="b">
        <f>TRUE()</f>
        <v>1</v>
      </c>
      <c r="N761" t="b">
        <f>FALSE()</f>
        <v>0</v>
      </c>
      <c r="O761" s="18" t="b">
        <f t="shared" si="35"/>
        <v>0</v>
      </c>
    </row>
    <row r="762" spans="1:15" x14ac:dyDescent="0.35">
      <c r="A762">
        <v>40914</v>
      </c>
      <c r="B762">
        <v>2163</v>
      </c>
      <c r="C762" t="s">
        <v>27</v>
      </c>
      <c r="D762" t="s">
        <v>33</v>
      </c>
      <c r="E762" t="s">
        <v>25</v>
      </c>
      <c r="F762">
        <v>10</v>
      </c>
      <c r="G762">
        <v>4470</v>
      </c>
      <c r="H762">
        <v>841.25400000000002</v>
      </c>
      <c r="K762" t="str">
        <f t="shared" si="33"/>
        <v>1.5%</v>
      </c>
      <c r="L762" t="str">
        <f t="shared" si="34"/>
        <v>Need Improvement</v>
      </c>
      <c r="M762" t="b">
        <f>TRUE()</f>
        <v>1</v>
      </c>
      <c r="N762" t="b">
        <f>FALSE()</f>
        <v>0</v>
      </c>
      <c r="O762" s="18" t="b">
        <f t="shared" si="35"/>
        <v>0</v>
      </c>
    </row>
    <row r="763" spans="1:15" x14ac:dyDescent="0.35">
      <c r="A763">
        <v>40915</v>
      </c>
      <c r="B763">
        <v>1799</v>
      </c>
      <c r="C763" t="s">
        <v>26</v>
      </c>
      <c r="D763" t="s">
        <v>33</v>
      </c>
      <c r="E763" t="s">
        <v>28</v>
      </c>
      <c r="F763">
        <v>8</v>
      </c>
      <c r="G763">
        <v>8496</v>
      </c>
      <c r="H763">
        <v>1601.0712000000003</v>
      </c>
      <c r="K763" t="str">
        <f t="shared" si="33"/>
        <v>2.5%</v>
      </c>
      <c r="L763" t="str">
        <f t="shared" si="34"/>
        <v>Need Improvement</v>
      </c>
      <c r="M763" t="b">
        <f>TRUE()</f>
        <v>1</v>
      </c>
      <c r="N763" t="b">
        <f>FALSE()</f>
        <v>0</v>
      </c>
      <c r="O763" s="18" t="b">
        <f t="shared" si="35"/>
        <v>0</v>
      </c>
    </row>
    <row r="764" spans="1:15" x14ac:dyDescent="0.35">
      <c r="A764">
        <v>40916</v>
      </c>
      <c r="B764">
        <v>2164</v>
      </c>
      <c r="C764" t="s">
        <v>23</v>
      </c>
      <c r="D764" t="s">
        <v>33</v>
      </c>
      <c r="E764" t="s">
        <v>25</v>
      </c>
      <c r="F764">
        <v>10</v>
      </c>
      <c r="G764">
        <v>5860</v>
      </c>
      <c r="H764">
        <v>3559.9500000000003</v>
      </c>
      <c r="K764" t="str">
        <f t="shared" si="33"/>
        <v>2.5%</v>
      </c>
      <c r="L764" t="str">
        <f t="shared" si="34"/>
        <v>Need Improvement</v>
      </c>
      <c r="M764" t="b">
        <f>TRUE()</f>
        <v>1</v>
      </c>
      <c r="N764" t="b">
        <f>FALSE()</f>
        <v>0</v>
      </c>
      <c r="O764" s="18" t="b">
        <f t="shared" si="35"/>
        <v>0</v>
      </c>
    </row>
    <row r="765" spans="1:15" x14ac:dyDescent="0.35">
      <c r="A765">
        <v>40917</v>
      </c>
      <c r="B765">
        <v>1800</v>
      </c>
      <c r="C765" t="s">
        <v>27</v>
      </c>
      <c r="D765" t="s">
        <v>33</v>
      </c>
      <c r="E765" t="s">
        <v>29</v>
      </c>
      <c r="F765">
        <v>9</v>
      </c>
      <c r="G765">
        <v>14107.5</v>
      </c>
      <c r="H765">
        <v>5919.5069999999987</v>
      </c>
      <c r="K765" t="str">
        <f t="shared" si="33"/>
        <v>5%</v>
      </c>
      <c r="L765" t="str">
        <f t="shared" si="34"/>
        <v>Good</v>
      </c>
      <c r="M765" t="b">
        <f>TRUE()</f>
        <v>1</v>
      </c>
      <c r="N765" t="b">
        <f>FALSE()</f>
        <v>0</v>
      </c>
      <c r="O765" s="18" t="b">
        <f t="shared" si="35"/>
        <v>0</v>
      </c>
    </row>
    <row r="766" spans="1:15" x14ac:dyDescent="0.35">
      <c r="A766">
        <v>40918</v>
      </c>
      <c r="B766">
        <v>2165</v>
      </c>
      <c r="C766" t="s">
        <v>26</v>
      </c>
      <c r="D766" t="s">
        <v>33</v>
      </c>
      <c r="E766" t="s">
        <v>25</v>
      </c>
      <c r="F766">
        <v>10</v>
      </c>
      <c r="G766">
        <v>5670</v>
      </c>
      <c r="H766">
        <v>3617.46</v>
      </c>
      <c r="K766" t="str">
        <f t="shared" si="33"/>
        <v>2.5%</v>
      </c>
      <c r="L766" t="str">
        <f t="shared" si="34"/>
        <v>Need Improvement</v>
      </c>
      <c r="M766" t="b">
        <f>TRUE()</f>
        <v>1</v>
      </c>
      <c r="N766" t="b">
        <f>FALSE()</f>
        <v>0</v>
      </c>
      <c r="O766" s="18" t="b">
        <f t="shared" si="35"/>
        <v>0</v>
      </c>
    </row>
    <row r="767" spans="1:15" x14ac:dyDescent="0.35">
      <c r="A767">
        <v>40919</v>
      </c>
      <c r="B767">
        <v>1801</v>
      </c>
      <c r="C767" t="s">
        <v>23</v>
      </c>
      <c r="D767" t="s">
        <v>33</v>
      </c>
      <c r="E767" t="s">
        <v>29</v>
      </c>
      <c r="F767">
        <v>9</v>
      </c>
      <c r="G767">
        <v>12555</v>
      </c>
      <c r="H767">
        <v>1511.6219999999998</v>
      </c>
      <c r="K767" t="str">
        <f t="shared" si="33"/>
        <v>5%</v>
      </c>
      <c r="L767" t="str">
        <f t="shared" si="34"/>
        <v>Good</v>
      </c>
      <c r="M767" t="b">
        <f>TRUE()</f>
        <v>1</v>
      </c>
      <c r="N767" t="b">
        <f>FALSE()</f>
        <v>0</v>
      </c>
      <c r="O767" s="18" t="b">
        <f t="shared" si="35"/>
        <v>0</v>
      </c>
    </row>
    <row r="768" spans="1:15" x14ac:dyDescent="0.35">
      <c r="A768">
        <v>40920</v>
      </c>
      <c r="B768">
        <v>2166</v>
      </c>
      <c r="C768" t="s">
        <v>27</v>
      </c>
      <c r="D768" t="s">
        <v>33</v>
      </c>
      <c r="E768" t="s">
        <v>28</v>
      </c>
      <c r="F768">
        <v>8</v>
      </c>
      <c r="G768">
        <v>4160</v>
      </c>
      <c r="H768">
        <v>3684.72</v>
      </c>
      <c r="K768" t="str">
        <f t="shared" si="33"/>
        <v>1.5%</v>
      </c>
      <c r="L768" t="str">
        <f t="shared" si="34"/>
        <v>Need Improvement</v>
      </c>
      <c r="M768" t="b">
        <f>TRUE()</f>
        <v>1</v>
      </c>
      <c r="N768" t="b">
        <f>FALSE()</f>
        <v>0</v>
      </c>
      <c r="O768" s="18" t="b">
        <f t="shared" si="35"/>
        <v>0</v>
      </c>
    </row>
    <row r="769" spans="1:15" x14ac:dyDescent="0.35">
      <c r="A769">
        <v>40921</v>
      </c>
      <c r="B769">
        <v>1802</v>
      </c>
      <c r="C769" t="s">
        <v>26</v>
      </c>
      <c r="D769" t="s">
        <v>33</v>
      </c>
      <c r="E769" t="s">
        <v>29</v>
      </c>
      <c r="F769">
        <v>7</v>
      </c>
      <c r="G769">
        <v>1974</v>
      </c>
      <c r="H769">
        <v>2703.5904</v>
      </c>
      <c r="K769" t="str">
        <f t="shared" si="33"/>
        <v>1.5%</v>
      </c>
      <c r="L769" t="str">
        <f t="shared" si="34"/>
        <v>Need Improvement</v>
      </c>
      <c r="M769" t="b">
        <f>TRUE()</f>
        <v>1</v>
      </c>
      <c r="N769" t="b">
        <f>FALSE()</f>
        <v>0</v>
      </c>
      <c r="O769" s="18" t="b">
        <f t="shared" si="35"/>
        <v>0</v>
      </c>
    </row>
    <row r="770" spans="1:15" x14ac:dyDescent="0.35">
      <c r="A770">
        <v>40922</v>
      </c>
      <c r="B770">
        <v>2167</v>
      </c>
      <c r="C770" t="s">
        <v>23</v>
      </c>
      <c r="D770" t="s">
        <v>33</v>
      </c>
      <c r="E770" t="s">
        <v>28</v>
      </c>
      <c r="F770">
        <v>9</v>
      </c>
      <c r="G770">
        <v>4819.5</v>
      </c>
      <c r="H770">
        <v>1895.9913000000001</v>
      </c>
      <c r="K770" t="str">
        <f t="shared" si="33"/>
        <v>1.5%</v>
      </c>
      <c r="L770" t="str">
        <f t="shared" si="34"/>
        <v>Need Improvement</v>
      </c>
      <c r="M770" t="b">
        <f>TRUE()</f>
        <v>1</v>
      </c>
      <c r="N770" t="b">
        <f>FALSE()</f>
        <v>0</v>
      </c>
      <c r="O770" s="18" t="b">
        <f t="shared" si="35"/>
        <v>0</v>
      </c>
    </row>
    <row r="771" spans="1:15" x14ac:dyDescent="0.35">
      <c r="A771">
        <v>40923</v>
      </c>
      <c r="B771">
        <v>1803</v>
      </c>
      <c r="C771" t="s">
        <v>27</v>
      </c>
      <c r="D771" t="s">
        <v>33</v>
      </c>
      <c r="E771" t="s">
        <v>25</v>
      </c>
      <c r="F771">
        <v>8</v>
      </c>
      <c r="G771">
        <v>6912</v>
      </c>
      <c r="H771">
        <v>1589.2991999999999</v>
      </c>
      <c r="K771" t="str">
        <f t="shared" ref="K771:K834" si="36">IF(G771&gt;10000,"5%",IF(AND(G771&gt;=5000,G771&lt;10000),"2.5%","1.5%"))</f>
        <v>2.5%</v>
      </c>
      <c r="L771" t="str">
        <f t="shared" ref="L771:L834" si="37">IF(OR(G771&gt;10000,H771&gt;=5000),"Good","Need Improvement")</f>
        <v>Need Improvement</v>
      </c>
      <c r="M771" t="b">
        <f>TRUE()</f>
        <v>1</v>
      </c>
      <c r="N771" t="b">
        <f>FALSE()</f>
        <v>0</v>
      </c>
      <c r="O771" s="18" t="b">
        <f t="shared" ref="O771:O834" si="38">NOT(M771)</f>
        <v>0</v>
      </c>
    </row>
    <row r="772" spans="1:15" x14ac:dyDescent="0.35">
      <c r="A772">
        <v>40924</v>
      </c>
      <c r="B772">
        <v>2168</v>
      </c>
      <c r="C772" t="s">
        <v>26</v>
      </c>
      <c r="D772" t="s">
        <v>33</v>
      </c>
      <c r="E772" t="s">
        <v>28</v>
      </c>
      <c r="F772">
        <v>7</v>
      </c>
      <c r="G772">
        <v>5811.75</v>
      </c>
      <c r="H772">
        <v>4338.4713750000001</v>
      </c>
      <c r="K772" t="str">
        <f t="shared" si="36"/>
        <v>2.5%</v>
      </c>
      <c r="L772" t="str">
        <f t="shared" si="37"/>
        <v>Need Improvement</v>
      </c>
      <c r="M772" t="b">
        <f>TRUE()</f>
        <v>1</v>
      </c>
      <c r="N772" t="b">
        <f>FALSE()</f>
        <v>0</v>
      </c>
      <c r="O772" s="18" t="b">
        <f t="shared" si="38"/>
        <v>0</v>
      </c>
    </row>
    <row r="773" spans="1:15" x14ac:dyDescent="0.35">
      <c r="A773">
        <v>40925</v>
      </c>
      <c r="B773">
        <v>1804</v>
      </c>
      <c r="C773" t="s">
        <v>23</v>
      </c>
      <c r="D773" t="s">
        <v>33</v>
      </c>
      <c r="E773" t="s">
        <v>25</v>
      </c>
      <c r="F773">
        <v>7</v>
      </c>
      <c r="G773">
        <v>9502.5</v>
      </c>
      <c r="H773">
        <v>634.5769499999999</v>
      </c>
      <c r="K773" t="str">
        <f t="shared" si="36"/>
        <v>2.5%</v>
      </c>
      <c r="L773" t="str">
        <f t="shared" si="37"/>
        <v>Need Improvement</v>
      </c>
      <c r="M773" t="b">
        <f>TRUE()</f>
        <v>1</v>
      </c>
      <c r="N773" t="b">
        <f>FALSE()</f>
        <v>0</v>
      </c>
      <c r="O773" s="18" t="b">
        <f t="shared" si="38"/>
        <v>0</v>
      </c>
    </row>
    <row r="774" spans="1:15" x14ac:dyDescent="0.35">
      <c r="A774">
        <v>40926</v>
      </c>
      <c r="B774">
        <v>2169</v>
      </c>
      <c r="C774" t="s">
        <v>27</v>
      </c>
      <c r="D774" t="s">
        <v>33</v>
      </c>
      <c r="E774" t="s">
        <v>29</v>
      </c>
      <c r="F774">
        <v>8</v>
      </c>
      <c r="G774">
        <v>9720</v>
      </c>
      <c r="H774">
        <v>1332.0288</v>
      </c>
      <c r="K774" t="str">
        <f t="shared" si="36"/>
        <v>2.5%</v>
      </c>
      <c r="L774" t="str">
        <f t="shared" si="37"/>
        <v>Need Improvement</v>
      </c>
      <c r="M774" t="b">
        <f>TRUE()</f>
        <v>1</v>
      </c>
      <c r="N774" t="b">
        <f>FALSE()</f>
        <v>0</v>
      </c>
      <c r="O774" s="18" t="b">
        <f t="shared" si="38"/>
        <v>0</v>
      </c>
    </row>
    <row r="775" spans="1:15" x14ac:dyDescent="0.35">
      <c r="A775">
        <v>40927</v>
      </c>
      <c r="B775">
        <v>1805</v>
      </c>
      <c r="C775" t="s">
        <v>26</v>
      </c>
      <c r="D775" t="s">
        <v>33</v>
      </c>
      <c r="E775" t="s">
        <v>25</v>
      </c>
      <c r="F775">
        <v>10</v>
      </c>
      <c r="G775">
        <v>5400</v>
      </c>
      <c r="H775">
        <v>3489.3</v>
      </c>
      <c r="K775" t="str">
        <f t="shared" si="36"/>
        <v>2.5%</v>
      </c>
      <c r="L775" t="str">
        <f t="shared" si="37"/>
        <v>Need Improvement</v>
      </c>
      <c r="M775" t="b">
        <f>TRUE()</f>
        <v>1</v>
      </c>
      <c r="N775" t="b">
        <f>FALSE()</f>
        <v>0</v>
      </c>
      <c r="O775" s="18" t="b">
        <f t="shared" si="38"/>
        <v>0</v>
      </c>
    </row>
    <row r="776" spans="1:15" x14ac:dyDescent="0.35">
      <c r="A776">
        <v>40928</v>
      </c>
      <c r="B776">
        <v>2170</v>
      </c>
      <c r="C776" t="s">
        <v>23</v>
      </c>
      <c r="D776" t="s">
        <v>33</v>
      </c>
      <c r="E776" t="s">
        <v>29</v>
      </c>
      <c r="F776">
        <v>6</v>
      </c>
      <c r="G776">
        <v>8032.5</v>
      </c>
      <c r="H776">
        <v>2061.4607999999998</v>
      </c>
      <c r="K776" t="str">
        <f t="shared" si="36"/>
        <v>2.5%</v>
      </c>
      <c r="L776" t="str">
        <f t="shared" si="37"/>
        <v>Need Improvement</v>
      </c>
      <c r="M776" t="b">
        <f>TRUE()</f>
        <v>1</v>
      </c>
      <c r="N776" t="b">
        <f>FALSE()</f>
        <v>0</v>
      </c>
      <c r="O776" s="18" t="b">
        <f t="shared" si="38"/>
        <v>0</v>
      </c>
    </row>
    <row r="777" spans="1:15" x14ac:dyDescent="0.35">
      <c r="A777">
        <v>40929</v>
      </c>
      <c r="B777">
        <v>1806</v>
      </c>
      <c r="C777" t="s">
        <v>27</v>
      </c>
      <c r="D777" t="s">
        <v>33</v>
      </c>
      <c r="E777" t="s">
        <v>28</v>
      </c>
      <c r="F777">
        <v>6</v>
      </c>
      <c r="G777">
        <v>2133</v>
      </c>
      <c r="H777">
        <v>4209.4754999999996</v>
      </c>
      <c r="K777" t="str">
        <f t="shared" si="36"/>
        <v>1.5%</v>
      </c>
      <c r="L777" t="str">
        <f t="shared" si="37"/>
        <v>Need Improvement</v>
      </c>
      <c r="M777" t="b">
        <f>TRUE()</f>
        <v>1</v>
      </c>
      <c r="N777" t="b">
        <f>FALSE()</f>
        <v>0</v>
      </c>
      <c r="O777" s="18" t="b">
        <f t="shared" si="38"/>
        <v>0</v>
      </c>
    </row>
    <row r="778" spans="1:15" x14ac:dyDescent="0.35">
      <c r="A778">
        <v>40930</v>
      </c>
      <c r="B778">
        <v>2171</v>
      </c>
      <c r="C778" t="s">
        <v>26</v>
      </c>
      <c r="D778" t="s">
        <v>33</v>
      </c>
      <c r="E778" t="s">
        <v>29</v>
      </c>
      <c r="F778">
        <v>10</v>
      </c>
      <c r="G778">
        <v>4980</v>
      </c>
      <c r="H778">
        <v>1633.44</v>
      </c>
      <c r="K778" t="str">
        <f t="shared" si="36"/>
        <v>1.5%</v>
      </c>
      <c r="L778" t="str">
        <f t="shared" si="37"/>
        <v>Need Improvement</v>
      </c>
      <c r="M778" t="b">
        <f>TRUE()</f>
        <v>1</v>
      </c>
      <c r="N778" t="b">
        <f>FALSE()</f>
        <v>0</v>
      </c>
      <c r="O778" s="18" t="b">
        <f t="shared" si="38"/>
        <v>0</v>
      </c>
    </row>
    <row r="779" spans="1:15" x14ac:dyDescent="0.35">
      <c r="A779">
        <v>40931</v>
      </c>
      <c r="B779">
        <v>1807</v>
      </c>
      <c r="C779" t="s">
        <v>23</v>
      </c>
      <c r="D779" t="s">
        <v>33</v>
      </c>
      <c r="E779" t="s">
        <v>28</v>
      </c>
      <c r="F779">
        <v>6</v>
      </c>
      <c r="G779">
        <v>3582</v>
      </c>
      <c r="H779">
        <v>765.65250000000003</v>
      </c>
      <c r="K779" t="str">
        <f t="shared" si="36"/>
        <v>1.5%</v>
      </c>
      <c r="L779" t="str">
        <f t="shared" si="37"/>
        <v>Need Improvement</v>
      </c>
      <c r="M779" t="b">
        <f>TRUE()</f>
        <v>1</v>
      </c>
      <c r="N779" t="b">
        <f>FALSE()</f>
        <v>0</v>
      </c>
      <c r="O779" s="18" t="b">
        <f t="shared" si="38"/>
        <v>0</v>
      </c>
    </row>
    <row r="780" spans="1:15" x14ac:dyDescent="0.35">
      <c r="A780">
        <v>40932</v>
      </c>
      <c r="B780">
        <v>2172</v>
      </c>
      <c r="C780" t="s">
        <v>27</v>
      </c>
      <c r="D780" t="s">
        <v>33</v>
      </c>
      <c r="E780" t="s">
        <v>25</v>
      </c>
      <c r="F780">
        <v>8</v>
      </c>
      <c r="G780">
        <v>12540</v>
      </c>
      <c r="H780">
        <v>1075.6812</v>
      </c>
      <c r="K780" t="str">
        <f t="shared" si="36"/>
        <v>5%</v>
      </c>
      <c r="L780" t="str">
        <f t="shared" si="37"/>
        <v>Good</v>
      </c>
      <c r="M780" t="b">
        <f>TRUE()</f>
        <v>1</v>
      </c>
      <c r="N780" t="b">
        <f>FALSE()</f>
        <v>0</v>
      </c>
      <c r="O780" s="18" t="b">
        <f t="shared" si="38"/>
        <v>0</v>
      </c>
    </row>
    <row r="781" spans="1:15" x14ac:dyDescent="0.35">
      <c r="A781">
        <v>40933</v>
      </c>
      <c r="B781">
        <v>1808</v>
      </c>
      <c r="C781" t="s">
        <v>26</v>
      </c>
      <c r="D781" t="s">
        <v>33</v>
      </c>
      <c r="E781" t="s">
        <v>28</v>
      </c>
      <c r="F781">
        <v>10</v>
      </c>
      <c r="G781">
        <v>7335</v>
      </c>
      <c r="H781">
        <v>2410.2810000000004</v>
      </c>
      <c r="K781" t="str">
        <f t="shared" si="36"/>
        <v>2.5%</v>
      </c>
      <c r="L781" t="str">
        <f t="shared" si="37"/>
        <v>Need Improvement</v>
      </c>
      <c r="M781" t="b">
        <f>TRUE()</f>
        <v>1</v>
      </c>
      <c r="N781" t="b">
        <f>FALSE()</f>
        <v>0</v>
      </c>
      <c r="O781" s="18" t="b">
        <f t="shared" si="38"/>
        <v>0</v>
      </c>
    </row>
    <row r="782" spans="1:15" x14ac:dyDescent="0.35">
      <c r="A782">
        <v>40934</v>
      </c>
      <c r="B782">
        <v>2173</v>
      </c>
      <c r="C782" t="s">
        <v>23</v>
      </c>
      <c r="D782" t="s">
        <v>33</v>
      </c>
      <c r="E782" t="s">
        <v>25</v>
      </c>
      <c r="F782">
        <v>10</v>
      </c>
      <c r="G782">
        <v>2265</v>
      </c>
      <c r="H782">
        <v>4442.7974999999988</v>
      </c>
      <c r="K782" t="str">
        <f t="shared" si="36"/>
        <v>1.5%</v>
      </c>
      <c r="L782" t="str">
        <f t="shared" si="37"/>
        <v>Need Improvement</v>
      </c>
      <c r="M782" t="b">
        <f>TRUE()</f>
        <v>1</v>
      </c>
      <c r="N782" t="b">
        <f>FALSE()</f>
        <v>0</v>
      </c>
      <c r="O782" s="18" t="b">
        <f t="shared" si="38"/>
        <v>0</v>
      </c>
    </row>
    <row r="783" spans="1:15" x14ac:dyDescent="0.35">
      <c r="A783">
        <v>40935</v>
      </c>
      <c r="B783">
        <v>1809</v>
      </c>
      <c r="C783" t="s">
        <v>27</v>
      </c>
      <c r="D783" t="s">
        <v>33</v>
      </c>
      <c r="E783" t="s">
        <v>29</v>
      </c>
      <c r="F783">
        <v>7</v>
      </c>
      <c r="G783">
        <v>7812</v>
      </c>
      <c r="H783">
        <v>2996.6831999999999</v>
      </c>
      <c r="K783" t="str">
        <f t="shared" si="36"/>
        <v>2.5%</v>
      </c>
      <c r="L783" t="str">
        <f t="shared" si="37"/>
        <v>Need Improvement</v>
      </c>
      <c r="M783" t="b">
        <f>TRUE()</f>
        <v>1</v>
      </c>
      <c r="N783" t="b">
        <f>FALSE()</f>
        <v>0</v>
      </c>
      <c r="O783" s="18" t="b">
        <f t="shared" si="38"/>
        <v>0</v>
      </c>
    </row>
    <row r="784" spans="1:15" x14ac:dyDescent="0.35">
      <c r="A784">
        <v>40936</v>
      </c>
      <c r="B784">
        <v>2174</v>
      </c>
      <c r="C784" t="s">
        <v>26</v>
      </c>
      <c r="D784" t="s">
        <v>33</v>
      </c>
      <c r="E784" t="s">
        <v>25</v>
      </c>
      <c r="F784">
        <v>8</v>
      </c>
      <c r="G784">
        <v>2484</v>
      </c>
      <c r="H784">
        <v>874.11959999999999</v>
      </c>
      <c r="K784" t="str">
        <f t="shared" si="36"/>
        <v>1.5%</v>
      </c>
      <c r="L784" t="str">
        <f t="shared" si="37"/>
        <v>Need Improvement</v>
      </c>
      <c r="M784" t="b">
        <f>TRUE()</f>
        <v>1</v>
      </c>
      <c r="N784" t="b">
        <f>FALSE()</f>
        <v>0</v>
      </c>
      <c r="O784" s="18" t="b">
        <f t="shared" si="38"/>
        <v>0</v>
      </c>
    </row>
    <row r="785" spans="1:15" x14ac:dyDescent="0.35">
      <c r="A785">
        <v>40937</v>
      </c>
      <c r="B785">
        <v>1810</v>
      </c>
      <c r="C785" t="s">
        <v>23</v>
      </c>
      <c r="D785" t="s">
        <v>33</v>
      </c>
      <c r="E785" t="s">
        <v>29</v>
      </c>
      <c r="F785">
        <v>6</v>
      </c>
      <c r="G785">
        <v>6156</v>
      </c>
      <c r="H785">
        <v>757.39319999999998</v>
      </c>
      <c r="K785" t="str">
        <f t="shared" si="36"/>
        <v>2.5%</v>
      </c>
      <c r="L785" t="str">
        <f t="shared" si="37"/>
        <v>Need Improvement</v>
      </c>
      <c r="M785" t="b">
        <f>TRUE()</f>
        <v>1</v>
      </c>
      <c r="N785" t="b">
        <f>FALSE()</f>
        <v>0</v>
      </c>
      <c r="O785" s="18" t="b">
        <f t="shared" si="38"/>
        <v>0</v>
      </c>
    </row>
    <row r="786" spans="1:15" x14ac:dyDescent="0.35">
      <c r="A786">
        <v>40938</v>
      </c>
      <c r="B786">
        <v>2175</v>
      </c>
      <c r="C786" t="s">
        <v>27</v>
      </c>
      <c r="D786" t="s">
        <v>33</v>
      </c>
      <c r="E786" t="s">
        <v>28</v>
      </c>
      <c r="F786">
        <v>8</v>
      </c>
      <c r="G786">
        <v>9936</v>
      </c>
      <c r="H786">
        <v>910.13760000000002</v>
      </c>
      <c r="K786" t="str">
        <f t="shared" si="36"/>
        <v>2.5%</v>
      </c>
      <c r="L786" t="str">
        <f t="shared" si="37"/>
        <v>Need Improvement</v>
      </c>
      <c r="M786" t="b">
        <f>TRUE()</f>
        <v>1</v>
      </c>
      <c r="N786" t="b">
        <f>FALSE()</f>
        <v>0</v>
      </c>
      <c r="O786" s="18" t="b">
        <f t="shared" si="38"/>
        <v>0</v>
      </c>
    </row>
    <row r="787" spans="1:15" x14ac:dyDescent="0.35">
      <c r="A787">
        <v>40939</v>
      </c>
      <c r="B787">
        <v>1811</v>
      </c>
      <c r="C787" t="s">
        <v>26</v>
      </c>
      <c r="D787" t="s">
        <v>33</v>
      </c>
      <c r="E787" t="s">
        <v>29</v>
      </c>
      <c r="F787">
        <v>6</v>
      </c>
      <c r="G787">
        <v>1620</v>
      </c>
      <c r="H787">
        <v>2450.7359999999999</v>
      </c>
      <c r="K787" t="str">
        <f t="shared" si="36"/>
        <v>1.5%</v>
      </c>
      <c r="L787" t="str">
        <f t="shared" si="37"/>
        <v>Need Improvement</v>
      </c>
      <c r="M787" t="b">
        <f>TRUE()</f>
        <v>1</v>
      </c>
      <c r="N787" t="b">
        <f>FALSE()</f>
        <v>0</v>
      </c>
      <c r="O787" s="18" t="b">
        <f t="shared" si="38"/>
        <v>0</v>
      </c>
    </row>
    <row r="788" spans="1:15" x14ac:dyDescent="0.35">
      <c r="A788">
        <v>40940</v>
      </c>
      <c r="B788">
        <v>2176</v>
      </c>
      <c r="C788" t="s">
        <v>23</v>
      </c>
      <c r="D788" t="s">
        <v>33</v>
      </c>
      <c r="E788" t="s">
        <v>28</v>
      </c>
      <c r="F788">
        <v>8</v>
      </c>
      <c r="G788">
        <v>4176</v>
      </c>
      <c r="H788">
        <v>4690.692</v>
      </c>
      <c r="K788" t="str">
        <f t="shared" si="36"/>
        <v>1.5%</v>
      </c>
      <c r="L788" t="str">
        <f t="shared" si="37"/>
        <v>Need Improvement</v>
      </c>
      <c r="M788" t="b">
        <f>TRUE()</f>
        <v>1</v>
      </c>
      <c r="N788" t="b">
        <f>FALSE()</f>
        <v>0</v>
      </c>
      <c r="O788" s="18" t="b">
        <f t="shared" si="38"/>
        <v>0</v>
      </c>
    </row>
    <row r="789" spans="1:15" x14ac:dyDescent="0.35">
      <c r="A789">
        <v>40941</v>
      </c>
      <c r="B789">
        <v>1812</v>
      </c>
      <c r="C789" t="s">
        <v>27</v>
      </c>
      <c r="D789" t="s">
        <v>33</v>
      </c>
      <c r="E789" t="s">
        <v>25</v>
      </c>
      <c r="F789">
        <v>6</v>
      </c>
      <c r="G789">
        <v>5548.5</v>
      </c>
      <c r="H789">
        <v>2380.3065000000001</v>
      </c>
      <c r="K789" t="str">
        <f t="shared" si="36"/>
        <v>2.5%</v>
      </c>
      <c r="L789" t="str">
        <f t="shared" si="37"/>
        <v>Need Improvement</v>
      </c>
      <c r="M789" t="b">
        <f>TRUE()</f>
        <v>1</v>
      </c>
      <c r="N789" t="b">
        <f>FALSE()</f>
        <v>0</v>
      </c>
      <c r="O789" s="18" t="b">
        <f t="shared" si="38"/>
        <v>0</v>
      </c>
    </row>
    <row r="790" spans="1:15" x14ac:dyDescent="0.35">
      <c r="A790">
        <v>40942</v>
      </c>
      <c r="B790">
        <v>2177</v>
      </c>
      <c r="C790" t="s">
        <v>26</v>
      </c>
      <c r="D790" t="s">
        <v>33</v>
      </c>
      <c r="E790" t="s">
        <v>28</v>
      </c>
      <c r="F790">
        <v>6</v>
      </c>
      <c r="G790">
        <v>7641</v>
      </c>
      <c r="H790">
        <v>1739.6010000000001</v>
      </c>
      <c r="K790" t="str">
        <f t="shared" si="36"/>
        <v>2.5%</v>
      </c>
      <c r="L790" t="str">
        <f t="shared" si="37"/>
        <v>Need Improvement</v>
      </c>
      <c r="M790" t="b">
        <f>TRUE()</f>
        <v>1</v>
      </c>
      <c r="N790" t="b">
        <f>FALSE()</f>
        <v>0</v>
      </c>
      <c r="O790" s="18" t="b">
        <f t="shared" si="38"/>
        <v>0</v>
      </c>
    </row>
    <row r="791" spans="1:15" x14ac:dyDescent="0.35">
      <c r="A791">
        <v>40943</v>
      </c>
      <c r="B791">
        <v>1813</v>
      </c>
      <c r="C791" t="s">
        <v>23</v>
      </c>
      <c r="D791" t="s">
        <v>33</v>
      </c>
      <c r="E791" t="s">
        <v>25</v>
      </c>
      <c r="F791">
        <v>8</v>
      </c>
      <c r="G791">
        <v>9696</v>
      </c>
      <c r="H791">
        <v>3047.4528</v>
      </c>
      <c r="K791" t="str">
        <f t="shared" si="36"/>
        <v>2.5%</v>
      </c>
      <c r="L791" t="str">
        <f t="shared" si="37"/>
        <v>Need Improvement</v>
      </c>
      <c r="M791" t="b">
        <f>TRUE()</f>
        <v>1</v>
      </c>
      <c r="N791" t="b">
        <f>FALSE()</f>
        <v>0</v>
      </c>
      <c r="O791" s="18" t="b">
        <f t="shared" si="38"/>
        <v>0</v>
      </c>
    </row>
    <row r="792" spans="1:15" x14ac:dyDescent="0.35">
      <c r="A792">
        <v>40944</v>
      </c>
      <c r="B792">
        <v>2178</v>
      </c>
      <c r="C792" t="s">
        <v>27</v>
      </c>
      <c r="D792" t="s">
        <v>33</v>
      </c>
      <c r="E792" t="s">
        <v>29</v>
      </c>
      <c r="F792">
        <v>7</v>
      </c>
      <c r="G792">
        <v>7087.5</v>
      </c>
      <c r="H792">
        <v>2957.8500000000004</v>
      </c>
      <c r="K792" t="str">
        <f t="shared" si="36"/>
        <v>2.5%</v>
      </c>
      <c r="L792" t="str">
        <f t="shared" si="37"/>
        <v>Need Improvement</v>
      </c>
      <c r="M792" t="b">
        <f>TRUE()</f>
        <v>1</v>
      </c>
      <c r="N792" t="b">
        <f>FALSE()</f>
        <v>0</v>
      </c>
      <c r="O792" s="18" t="b">
        <f t="shared" si="38"/>
        <v>0</v>
      </c>
    </row>
    <row r="793" spans="1:15" x14ac:dyDescent="0.35">
      <c r="A793">
        <v>40945</v>
      </c>
      <c r="B793">
        <v>1814</v>
      </c>
      <c r="C793" t="s">
        <v>26</v>
      </c>
      <c r="D793" t="s">
        <v>33</v>
      </c>
      <c r="E793" t="s">
        <v>25</v>
      </c>
      <c r="F793">
        <v>6</v>
      </c>
      <c r="G793">
        <v>1539</v>
      </c>
      <c r="H793">
        <v>1813.5575999999999</v>
      </c>
      <c r="K793" t="str">
        <f t="shared" si="36"/>
        <v>1.5%</v>
      </c>
      <c r="L793" t="str">
        <f t="shared" si="37"/>
        <v>Need Improvement</v>
      </c>
      <c r="M793" t="b">
        <f>TRUE()</f>
        <v>1</v>
      </c>
      <c r="N793" t="b">
        <f>FALSE()</f>
        <v>0</v>
      </c>
      <c r="O793" s="18" t="b">
        <f t="shared" si="38"/>
        <v>0</v>
      </c>
    </row>
    <row r="794" spans="1:15" x14ac:dyDescent="0.35">
      <c r="A794">
        <v>40946</v>
      </c>
      <c r="B794">
        <v>2179</v>
      </c>
      <c r="C794" t="s">
        <v>23</v>
      </c>
      <c r="D794" t="s">
        <v>33</v>
      </c>
      <c r="E794" t="s">
        <v>29</v>
      </c>
      <c r="F794">
        <v>7</v>
      </c>
      <c r="G794">
        <v>4998</v>
      </c>
      <c r="H794">
        <v>2040.1835999999998</v>
      </c>
      <c r="K794" t="str">
        <f t="shared" si="36"/>
        <v>1.5%</v>
      </c>
      <c r="L794" t="str">
        <f t="shared" si="37"/>
        <v>Need Improvement</v>
      </c>
      <c r="M794" t="b">
        <f>TRUE()</f>
        <v>1</v>
      </c>
      <c r="N794" t="b">
        <f>FALSE()</f>
        <v>0</v>
      </c>
      <c r="O794" s="18" t="b">
        <f t="shared" si="38"/>
        <v>0</v>
      </c>
    </row>
    <row r="795" spans="1:15" x14ac:dyDescent="0.35">
      <c r="A795">
        <v>40947</v>
      </c>
      <c r="B795">
        <v>1815</v>
      </c>
      <c r="C795" t="s">
        <v>27</v>
      </c>
      <c r="D795" t="s">
        <v>33</v>
      </c>
      <c r="E795" t="s">
        <v>28</v>
      </c>
      <c r="F795">
        <v>7</v>
      </c>
      <c r="G795">
        <v>4410</v>
      </c>
      <c r="H795">
        <v>3461.8500000000004</v>
      </c>
      <c r="K795" t="str">
        <f t="shared" si="36"/>
        <v>1.5%</v>
      </c>
      <c r="L795" t="str">
        <f t="shared" si="37"/>
        <v>Need Improvement</v>
      </c>
      <c r="M795" t="b">
        <f>TRUE()</f>
        <v>1</v>
      </c>
      <c r="N795" t="b">
        <f>FALSE()</f>
        <v>0</v>
      </c>
      <c r="O795" s="18" t="b">
        <f t="shared" si="38"/>
        <v>0</v>
      </c>
    </row>
    <row r="796" spans="1:15" x14ac:dyDescent="0.35">
      <c r="A796">
        <v>40948</v>
      </c>
      <c r="B796">
        <v>2180</v>
      </c>
      <c r="C796" t="s">
        <v>26</v>
      </c>
      <c r="D796" t="s">
        <v>33</v>
      </c>
      <c r="E796" t="s">
        <v>29</v>
      </c>
      <c r="F796">
        <v>9</v>
      </c>
      <c r="G796">
        <v>7249.5</v>
      </c>
      <c r="H796">
        <v>3633.2077500000005</v>
      </c>
      <c r="K796" t="str">
        <f t="shared" si="36"/>
        <v>2.5%</v>
      </c>
      <c r="L796" t="str">
        <f t="shared" si="37"/>
        <v>Need Improvement</v>
      </c>
      <c r="M796" t="b">
        <f>TRUE()</f>
        <v>1</v>
      </c>
      <c r="N796" t="b">
        <f>FALSE()</f>
        <v>0</v>
      </c>
      <c r="O796" s="18" t="b">
        <f t="shared" si="38"/>
        <v>0</v>
      </c>
    </row>
    <row r="797" spans="1:15" x14ac:dyDescent="0.35">
      <c r="A797">
        <v>40949</v>
      </c>
      <c r="B797">
        <v>1816</v>
      </c>
      <c r="C797" t="s">
        <v>23</v>
      </c>
      <c r="D797" t="s">
        <v>33</v>
      </c>
      <c r="E797" t="s">
        <v>28</v>
      </c>
      <c r="F797">
        <v>10</v>
      </c>
      <c r="G797">
        <v>1635</v>
      </c>
      <c r="H797">
        <v>3072.165</v>
      </c>
      <c r="K797" t="str">
        <f t="shared" si="36"/>
        <v>1.5%</v>
      </c>
      <c r="L797" t="str">
        <f t="shared" si="37"/>
        <v>Need Improvement</v>
      </c>
      <c r="M797" t="b">
        <f>TRUE()</f>
        <v>1</v>
      </c>
      <c r="N797" t="b">
        <f>FALSE()</f>
        <v>0</v>
      </c>
      <c r="O797" s="18" t="b">
        <f t="shared" si="38"/>
        <v>0</v>
      </c>
    </row>
    <row r="798" spans="1:15" x14ac:dyDescent="0.35">
      <c r="A798">
        <v>40950</v>
      </c>
      <c r="B798">
        <v>2181</v>
      </c>
      <c r="C798" t="s">
        <v>27</v>
      </c>
      <c r="D798" t="s">
        <v>33</v>
      </c>
      <c r="E798" t="s">
        <v>25</v>
      </c>
      <c r="F798">
        <v>8</v>
      </c>
      <c r="G798">
        <v>2376</v>
      </c>
      <c r="H798">
        <v>1641.3407999999999</v>
      </c>
      <c r="K798" t="str">
        <f t="shared" si="36"/>
        <v>1.5%</v>
      </c>
      <c r="L798" t="str">
        <f t="shared" si="37"/>
        <v>Need Improvement</v>
      </c>
      <c r="M798" t="b">
        <f>TRUE()</f>
        <v>1</v>
      </c>
      <c r="N798" t="b">
        <f>FALSE()</f>
        <v>0</v>
      </c>
      <c r="O798" s="18" t="b">
        <f t="shared" si="38"/>
        <v>0</v>
      </c>
    </row>
    <row r="799" spans="1:15" x14ac:dyDescent="0.35">
      <c r="A799">
        <v>40951</v>
      </c>
      <c r="B799">
        <v>1817</v>
      </c>
      <c r="C799" t="s">
        <v>26</v>
      </c>
      <c r="D799" t="s">
        <v>33</v>
      </c>
      <c r="E799" t="s">
        <v>28</v>
      </c>
      <c r="F799">
        <v>10</v>
      </c>
      <c r="G799">
        <v>8175</v>
      </c>
      <c r="H799">
        <v>1896.2730000000001</v>
      </c>
      <c r="K799" t="str">
        <f t="shared" si="36"/>
        <v>2.5%</v>
      </c>
      <c r="L799" t="str">
        <f t="shared" si="37"/>
        <v>Need Improvement</v>
      </c>
      <c r="M799" t="b">
        <f>TRUE()</f>
        <v>1</v>
      </c>
      <c r="N799" t="b">
        <f>FALSE()</f>
        <v>0</v>
      </c>
      <c r="O799" s="18" t="b">
        <f t="shared" si="38"/>
        <v>0</v>
      </c>
    </row>
    <row r="800" spans="1:15" x14ac:dyDescent="0.35">
      <c r="A800">
        <v>40952</v>
      </c>
      <c r="B800">
        <v>2182</v>
      </c>
      <c r="C800" t="s">
        <v>23</v>
      </c>
      <c r="D800" t="s">
        <v>33</v>
      </c>
      <c r="E800" t="s">
        <v>25</v>
      </c>
      <c r="F800">
        <v>9</v>
      </c>
      <c r="G800">
        <v>13140</v>
      </c>
      <c r="H800">
        <v>4216.3631999999998</v>
      </c>
      <c r="K800" t="str">
        <f t="shared" si="36"/>
        <v>5%</v>
      </c>
      <c r="L800" t="str">
        <f t="shared" si="37"/>
        <v>Good</v>
      </c>
      <c r="M800" t="b">
        <f>TRUE()</f>
        <v>1</v>
      </c>
      <c r="N800" t="b">
        <f>FALSE()</f>
        <v>0</v>
      </c>
      <c r="O800" s="18" t="b">
        <f t="shared" si="38"/>
        <v>0</v>
      </c>
    </row>
    <row r="801" spans="1:15" x14ac:dyDescent="0.35">
      <c r="A801">
        <v>40953</v>
      </c>
      <c r="B801">
        <v>1818</v>
      </c>
      <c r="C801" t="s">
        <v>27</v>
      </c>
      <c r="D801" t="s">
        <v>33</v>
      </c>
      <c r="E801" t="s">
        <v>29</v>
      </c>
      <c r="F801">
        <v>7</v>
      </c>
      <c r="G801">
        <v>5811.75</v>
      </c>
      <c r="H801">
        <v>3467.6774999999998</v>
      </c>
      <c r="K801" t="str">
        <f t="shared" si="36"/>
        <v>2.5%</v>
      </c>
      <c r="L801" t="str">
        <f t="shared" si="37"/>
        <v>Need Improvement</v>
      </c>
      <c r="M801" t="b">
        <f>TRUE()</f>
        <v>1</v>
      </c>
      <c r="N801" t="b">
        <f>FALSE()</f>
        <v>0</v>
      </c>
      <c r="O801" s="18" t="b">
        <f t="shared" si="38"/>
        <v>0</v>
      </c>
    </row>
    <row r="802" spans="1:15" x14ac:dyDescent="0.35">
      <c r="A802">
        <v>40954</v>
      </c>
      <c r="B802">
        <v>2183</v>
      </c>
      <c r="C802" t="s">
        <v>26</v>
      </c>
      <c r="D802" t="s">
        <v>33</v>
      </c>
      <c r="E802" t="s">
        <v>25</v>
      </c>
      <c r="F802">
        <v>8</v>
      </c>
      <c r="G802">
        <v>2400</v>
      </c>
      <c r="H802">
        <v>976.8</v>
      </c>
      <c r="K802" t="str">
        <f t="shared" si="36"/>
        <v>1.5%</v>
      </c>
      <c r="L802" t="str">
        <f t="shared" si="37"/>
        <v>Need Improvement</v>
      </c>
      <c r="M802" t="b">
        <f>TRUE()</f>
        <v>1</v>
      </c>
      <c r="N802" t="b">
        <f>FALSE()</f>
        <v>0</v>
      </c>
      <c r="O802" s="18" t="b">
        <f t="shared" si="38"/>
        <v>0</v>
      </c>
    </row>
    <row r="803" spans="1:15" x14ac:dyDescent="0.35">
      <c r="A803">
        <v>40955</v>
      </c>
      <c r="B803">
        <v>1819</v>
      </c>
      <c r="C803" t="s">
        <v>23</v>
      </c>
      <c r="D803" t="s">
        <v>33</v>
      </c>
      <c r="E803" t="s">
        <v>29</v>
      </c>
      <c r="F803">
        <v>9</v>
      </c>
      <c r="G803">
        <v>6237</v>
      </c>
      <c r="H803">
        <v>919.1259</v>
      </c>
      <c r="K803" t="str">
        <f t="shared" si="36"/>
        <v>2.5%</v>
      </c>
      <c r="L803" t="str">
        <f t="shared" si="37"/>
        <v>Need Improvement</v>
      </c>
      <c r="M803" t="b">
        <f>TRUE()</f>
        <v>1</v>
      </c>
      <c r="N803" t="b">
        <f>FALSE()</f>
        <v>0</v>
      </c>
      <c r="O803" s="18" t="b">
        <f t="shared" si="38"/>
        <v>0</v>
      </c>
    </row>
    <row r="804" spans="1:15" x14ac:dyDescent="0.35">
      <c r="A804">
        <v>40956</v>
      </c>
      <c r="B804">
        <v>2184</v>
      </c>
      <c r="C804" t="s">
        <v>27</v>
      </c>
      <c r="D804" t="s">
        <v>33</v>
      </c>
      <c r="E804" t="s">
        <v>28</v>
      </c>
      <c r="F804">
        <v>7</v>
      </c>
      <c r="G804">
        <v>2268</v>
      </c>
      <c r="H804">
        <v>827.81999999999994</v>
      </c>
      <c r="K804" t="str">
        <f t="shared" si="36"/>
        <v>1.5%</v>
      </c>
      <c r="L804" t="str">
        <f t="shared" si="37"/>
        <v>Need Improvement</v>
      </c>
      <c r="M804" t="b">
        <f>TRUE()</f>
        <v>1</v>
      </c>
      <c r="N804" t="b">
        <f>FALSE()</f>
        <v>0</v>
      </c>
      <c r="O804" s="18" t="b">
        <f t="shared" si="38"/>
        <v>0</v>
      </c>
    </row>
    <row r="805" spans="1:15" x14ac:dyDescent="0.35">
      <c r="A805">
        <v>40957</v>
      </c>
      <c r="B805">
        <v>1820</v>
      </c>
      <c r="C805" t="s">
        <v>26</v>
      </c>
      <c r="D805" t="s">
        <v>33</v>
      </c>
      <c r="E805" t="s">
        <v>29</v>
      </c>
      <c r="F805">
        <v>10</v>
      </c>
      <c r="G805">
        <v>8880</v>
      </c>
      <c r="H805">
        <v>4449.99</v>
      </c>
      <c r="K805" t="str">
        <f t="shared" si="36"/>
        <v>2.5%</v>
      </c>
      <c r="L805" t="str">
        <f t="shared" si="37"/>
        <v>Need Improvement</v>
      </c>
      <c r="M805" t="b">
        <f>TRUE()</f>
        <v>1</v>
      </c>
      <c r="N805" t="b">
        <f>FALSE()</f>
        <v>0</v>
      </c>
      <c r="O805" s="18" t="b">
        <f t="shared" si="38"/>
        <v>0</v>
      </c>
    </row>
    <row r="806" spans="1:15" x14ac:dyDescent="0.35">
      <c r="A806">
        <v>40958</v>
      </c>
      <c r="B806">
        <v>2185</v>
      </c>
      <c r="C806" t="s">
        <v>23</v>
      </c>
      <c r="D806" t="s">
        <v>33</v>
      </c>
      <c r="E806" t="s">
        <v>28</v>
      </c>
      <c r="F806">
        <v>6</v>
      </c>
      <c r="G806">
        <v>4770</v>
      </c>
      <c r="H806">
        <v>976.4190000000001</v>
      </c>
      <c r="K806" t="str">
        <f t="shared" si="36"/>
        <v>1.5%</v>
      </c>
      <c r="L806" t="str">
        <f t="shared" si="37"/>
        <v>Need Improvement</v>
      </c>
      <c r="M806" t="b">
        <f>TRUE()</f>
        <v>1</v>
      </c>
      <c r="N806" t="b">
        <f>FALSE()</f>
        <v>0</v>
      </c>
      <c r="O806" s="18" t="b">
        <f t="shared" si="38"/>
        <v>0</v>
      </c>
    </row>
    <row r="807" spans="1:15" x14ac:dyDescent="0.35">
      <c r="A807">
        <v>40959</v>
      </c>
      <c r="B807">
        <v>2190</v>
      </c>
      <c r="C807" t="s">
        <v>23</v>
      </c>
      <c r="D807" t="s">
        <v>33</v>
      </c>
      <c r="E807" t="s">
        <v>28</v>
      </c>
      <c r="F807">
        <v>6</v>
      </c>
      <c r="G807">
        <v>11925</v>
      </c>
      <c r="H807">
        <v>3905.6760000000004</v>
      </c>
      <c r="K807" t="str">
        <f t="shared" si="36"/>
        <v>5%</v>
      </c>
      <c r="L807" t="str">
        <f t="shared" si="37"/>
        <v>Good</v>
      </c>
      <c r="M807" t="b">
        <f>TRUE()</f>
        <v>1</v>
      </c>
      <c r="N807" t="b">
        <f>FALSE()</f>
        <v>0</v>
      </c>
      <c r="O807" s="18" t="b">
        <f t="shared" si="38"/>
        <v>0</v>
      </c>
    </row>
    <row r="808" spans="1:15" x14ac:dyDescent="0.35">
      <c r="A808">
        <v>40960</v>
      </c>
      <c r="B808">
        <v>1821</v>
      </c>
      <c r="C808" t="s">
        <v>27</v>
      </c>
      <c r="D808" t="s">
        <v>33</v>
      </c>
      <c r="E808" t="s">
        <v>25</v>
      </c>
      <c r="F808">
        <v>8</v>
      </c>
      <c r="G808">
        <v>3072</v>
      </c>
      <c r="H808">
        <v>2750.6687999999999</v>
      </c>
      <c r="K808" t="str">
        <f t="shared" si="36"/>
        <v>1.5%</v>
      </c>
      <c r="L808" t="str">
        <f t="shared" si="37"/>
        <v>Need Improvement</v>
      </c>
      <c r="M808" t="b">
        <f>TRUE()</f>
        <v>1</v>
      </c>
      <c r="N808" t="b">
        <f>FALSE()</f>
        <v>0</v>
      </c>
      <c r="O808" s="18" t="b">
        <f t="shared" si="38"/>
        <v>0</v>
      </c>
    </row>
    <row r="809" spans="1:15" x14ac:dyDescent="0.35">
      <c r="A809">
        <v>40961</v>
      </c>
      <c r="B809">
        <v>2186</v>
      </c>
      <c r="C809" t="s">
        <v>26</v>
      </c>
      <c r="D809" t="s">
        <v>33</v>
      </c>
      <c r="E809" t="s">
        <v>28</v>
      </c>
      <c r="F809">
        <v>10</v>
      </c>
      <c r="G809">
        <v>2660</v>
      </c>
      <c r="H809">
        <v>5040.7</v>
      </c>
      <c r="K809" t="str">
        <f t="shared" si="36"/>
        <v>1.5%</v>
      </c>
      <c r="L809" t="str">
        <f t="shared" si="37"/>
        <v>Good</v>
      </c>
      <c r="M809" t="b">
        <f>TRUE()</f>
        <v>1</v>
      </c>
      <c r="N809" t="b">
        <f>FALSE()</f>
        <v>0</v>
      </c>
      <c r="O809" s="18" t="b">
        <f t="shared" si="38"/>
        <v>0</v>
      </c>
    </row>
    <row r="810" spans="1:15" x14ac:dyDescent="0.35">
      <c r="A810">
        <v>40962</v>
      </c>
      <c r="B810">
        <v>2191</v>
      </c>
      <c r="C810" t="s">
        <v>26</v>
      </c>
      <c r="D810" t="s">
        <v>33</v>
      </c>
      <c r="E810" t="s">
        <v>28</v>
      </c>
      <c r="F810">
        <v>10</v>
      </c>
      <c r="G810">
        <v>2660</v>
      </c>
      <c r="H810">
        <v>4032.56</v>
      </c>
      <c r="K810" t="str">
        <f t="shared" si="36"/>
        <v>1.5%</v>
      </c>
      <c r="L810" t="str">
        <f t="shared" si="37"/>
        <v>Need Improvement</v>
      </c>
      <c r="M810" t="b">
        <f>TRUE()</f>
        <v>1</v>
      </c>
      <c r="N810" t="b">
        <f>FALSE()</f>
        <v>0</v>
      </c>
      <c r="O810" s="18" t="b">
        <f t="shared" si="38"/>
        <v>0</v>
      </c>
    </row>
    <row r="811" spans="1:15" x14ac:dyDescent="0.35">
      <c r="A811">
        <v>40963</v>
      </c>
      <c r="B811">
        <v>1822</v>
      </c>
      <c r="C811" t="s">
        <v>23</v>
      </c>
      <c r="D811" t="s">
        <v>33</v>
      </c>
      <c r="E811" t="s">
        <v>25</v>
      </c>
      <c r="F811">
        <v>10</v>
      </c>
      <c r="G811">
        <v>2475</v>
      </c>
      <c r="H811">
        <v>1058.8050000000001</v>
      </c>
      <c r="K811" t="str">
        <f t="shared" si="36"/>
        <v>1.5%</v>
      </c>
      <c r="L811" t="str">
        <f t="shared" si="37"/>
        <v>Need Improvement</v>
      </c>
      <c r="M811" t="b">
        <f>TRUE()</f>
        <v>1</v>
      </c>
      <c r="N811" t="b">
        <f>FALSE()</f>
        <v>0</v>
      </c>
      <c r="O811" s="18" t="b">
        <f t="shared" si="38"/>
        <v>0</v>
      </c>
    </row>
    <row r="812" spans="1:15" x14ac:dyDescent="0.35">
      <c r="A812">
        <v>40964</v>
      </c>
      <c r="B812">
        <v>2187</v>
      </c>
      <c r="C812" t="s">
        <v>27</v>
      </c>
      <c r="D812" t="s">
        <v>33</v>
      </c>
      <c r="E812" t="s">
        <v>29</v>
      </c>
      <c r="F812">
        <v>9</v>
      </c>
      <c r="G812">
        <v>2097</v>
      </c>
      <c r="H812">
        <v>867.94830000000002</v>
      </c>
      <c r="K812" t="str">
        <f t="shared" si="36"/>
        <v>1.5%</v>
      </c>
      <c r="L812" t="str">
        <f t="shared" si="37"/>
        <v>Need Improvement</v>
      </c>
      <c r="M812" t="b">
        <f>TRUE()</f>
        <v>1</v>
      </c>
      <c r="N812" t="b">
        <f>FALSE()</f>
        <v>0</v>
      </c>
      <c r="O812" s="18" t="b">
        <f t="shared" si="38"/>
        <v>0</v>
      </c>
    </row>
    <row r="813" spans="1:15" x14ac:dyDescent="0.35">
      <c r="A813">
        <v>40965</v>
      </c>
      <c r="B813">
        <v>2192</v>
      </c>
      <c r="C813" t="s">
        <v>27</v>
      </c>
      <c r="D813" t="s">
        <v>33</v>
      </c>
      <c r="E813" t="s">
        <v>29</v>
      </c>
      <c r="F813">
        <v>9</v>
      </c>
      <c r="G813">
        <v>2097</v>
      </c>
      <c r="H813">
        <v>3471.7932000000001</v>
      </c>
      <c r="K813" t="str">
        <f t="shared" si="36"/>
        <v>1.5%</v>
      </c>
      <c r="L813" t="str">
        <f t="shared" si="37"/>
        <v>Need Improvement</v>
      </c>
      <c r="M813" t="b">
        <f>TRUE()</f>
        <v>1</v>
      </c>
      <c r="N813" t="b">
        <f>FALSE()</f>
        <v>0</v>
      </c>
      <c r="O813" s="18" t="b">
        <f t="shared" si="38"/>
        <v>0</v>
      </c>
    </row>
    <row r="814" spans="1:15" x14ac:dyDescent="0.35">
      <c r="A814">
        <v>40966</v>
      </c>
      <c r="B814">
        <v>1823</v>
      </c>
      <c r="C814" t="s">
        <v>26</v>
      </c>
      <c r="D814" t="s">
        <v>33</v>
      </c>
      <c r="E814" t="s">
        <v>25</v>
      </c>
      <c r="F814">
        <v>6</v>
      </c>
      <c r="G814">
        <v>7627.5</v>
      </c>
      <c r="H814">
        <v>1443.8857499999999</v>
      </c>
      <c r="K814" t="str">
        <f t="shared" si="36"/>
        <v>2.5%</v>
      </c>
      <c r="L814" t="str">
        <f t="shared" si="37"/>
        <v>Need Improvement</v>
      </c>
      <c r="M814" t="b">
        <f>TRUE()</f>
        <v>1</v>
      </c>
      <c r="N814" t="b">
        <f>FALSE()</f>
        <v>0</v>
      </c>
      <c r="O814" s="18" t="b">
        <f t="shared" si="38"/>
        <v>0</v>
      </c>
    </row>
    <row r="815" spans="1:15" x14ac:dyDescent="0.35">
      <c r="A815">
        <v>40967</v>
      </c>
      <c r="B815">
        <v>2188</v>
      </c>
      <c r="C815" t="s">
        <v>23</v>
      </c>
      <c r="D815" t="s">
        <v>33</v>
      </c>
      <c r="E815" t="s">
        <v>29</v>
      </c>
      <c r="F815">
        <v>7</v>
      </c>
      <c r="G815">
        <v>3045</v>
      </c>
      <c r="H815">
        <v>2037.7140000000002</v>
      </c>
      <c r="K815" t="str">
        <f t="shared" si="36"/>
        <v>1.5%</v>
      </c>
      <c r="L815" t="str">
        <f t="shared" si="37"/>
        <v>Need Improvement</v>
      </c>
      <c r="M815" t="b">
        <f>TRUE()</f>
        <v>1</v>
      </c>
      <c r="N815" t="b">
        <f>FALSE()</f>
        <v>0</v>
      </c>
      <c r="O815" s="18" t="b">
        <f t="shared" si="38"/>
        <v>0</v>
      </c>
    </row>
    <row r="816" spans="1:15" x14ac:dyDescent="0.35">
      <c r="A816">
        <v>40969</v>
      </c>
      <c r="B816">
        <v>2193</v>
      </c>
      <c r="C816" t="s">
        <v>23</v>
      </c>
      <c r="D816" t="s">
        <v>33</v>
      </c>
      <c r="E816" t="s">
        <v>29</v>
      </c>
      <c r="F816">
        <v>7</v>
      </c>
      <c r="G816">
        <v>1522.5</v>
      </c>
      <c r="H816">
        <v>509.42850000000004</v>
      </c>
      <c r="K816" t="str">
        <f t="shared" si="36"/>
        <v>1.5%</v>
      </c>
      <c r="L816" t="str">
        <f t="shared" si="37"/>
        <v>Need Improvement</v>
      </c>
      <c r="M816" t="b">
        <f>TRUE()</f>
        <v>1</v>
      </c>
      <c r="N816" t="b">
        <f>FALSE()</f>
        <v>0</v>
      </c>
      <c r="O816" s="18" t="b">
        <f t="shared" si="38"/>
        <v>0</v>
      </c>
    </row>
    <row r="817" spans="1:15" x14ac:dyDescent="0.35">
      <c r="A817">
        <v>40970</v>
      </c>
      <c r="B817">
        <v>1824</v>
      </c>
      <c r="C817" t="s">
        <v>27</v>
      </c>
      <c r="D817" t="s">
        <v>33</v>
      </c>
      <c r="E817" t="s">
        <v>28</v>
      </c>
      <c r="F817">
        <v>6</v>
      </c>
      <c r="G817">
        <v>13230</v>
      </c>
      <c r="H817">
        <v>5757.6959999999999</v>
      </c>
      <c r="K817" t="str">
        <f t="shared" si="36"/>
        <v>5%</v>
      </c>
      <c r="L817" t="str">
        <f t="shared" si="37"/>
        <v>Good</v>
      </c>
      <c r="M817" t="b">
        <f>TRUE()</f>
        <v>1</v>
      </c>
      <c r="N817" t="b">
        <f>FALSE()</f>
        <v>0</v>
      </c>
      <c r="O817" s="18" t="b">
        <f t="shared" si="38"/>
        <v>0</v>
      </c>
    </row>
    <row r="818" spans="1:15" x14ac:dyDescent="0.35">
      <c r="A818">
        <v>40971</v>
      </c>
      <c r="B818">
        <v>2189</v>
      </c>
      <c r="C818" t="s">
        <v>26</v>
      </c>
      <c r="D818" t="s">
        <v>33</v>
      </c>
      <c r="E818" t="s">
        <v>29</v>
      </c>
      <c r="F818">
        <v>9</v>
      </c>
      <c r="G818">
        <v>6378.75</v>
      </c>
      <c r="H818">
        <v>2721.6000000000004</v>
      </c>
      <c r="K818" t="str">
        <f t="shared" si="36"/>
        <v>2.5%</v>
      </c>
      <c r="L818" t="str">
        <f t="shared" si="37"/>
        <v>Need Improvement</v>
      </c>
      <c r="M818" t="b">
        <f>TRUE()</f>
        <v>1</v>
      </c>
      <c r="N818" t="b">
        <f>FALSE()</f>
        <v>0</v>
      </c>
      <c r="O818" s="18" t="b">
        <f t="shared" si="38"/>
        <v>0</v>
      </c>
    </row>
    <row r="819" spans="1:15" x14ac:dyDescent="0.35">
      <c r="A819">
        <v>40972</v>
      </c>
      <c r="B819">
        <v>2194</v>
      </c>
      <c r="C819" t="s">
        <v>26</v>
      </c>
      <c r="D819" t="s">
        <v>33</v>
      </c>
      <c r="E819" t="s">
        <v>29</v>
      </c>
      <c r="F819">
        <v>9</v>
      </c>
      <c r="G819">
        <v>4252.5</v>
      </c>
      <c r="H819">
        <v>3402.0000000000005</v>
      </c>
      <c r="K819" t="str">
        <f t="shared" si="36"/>
        <v>1.5%</v>
      </c>
      <c r="L819" t="str">
        <f t="shared" si="37"/>
        <v>Need Improvement</v>
      </c>
      <c r="M819" t="b">
        <f>TRUE()</f>
        <v>1</v>
      </c>
      <c r="N819" t="b">
        <f>FALSE()</f>
        <v>0</v>
      </c>
      <c r="O819" s="18" t="b">
        <f t="shared" si="38"/>
        <v>0</v>
      </c>
    </row>
    <row r="820" spans="1:15" x14ac:dyDescent="0.35">
      <c r="A820">
        <v>40973</v>
      </c>
      <c r="B820">
        <v>2195</v>
      </c>
      <c r="C820" t="s">
        <v>23</v>
      </c>
      <c r="D820" t="s">
        <v>33</v>
      </c>
      <c r="E820" t="s">
        <v>25</v>
      </c>
      <c r="F820">
        <v>8</v>
      </c>
      <c r="G820">
        <v>4776</v>
      </c>
      <c r="H820">
        <v>2532.4739999999997</v>
      </c>
      <c r="K820" t="str">
        <f t="shared" si="36"/>
        <v>1.5%</v>
      </c>
      <c r="L820" t="str">
        <f t="shared" si="37"/>
        <v>Need Improvement</v>
      </c>
      <c r="M820" t="b">
        <f>TRUE()</f>
        <v>1</v>
      </c>
      <c r="N820" t="b">
        <f>FALSE()</f>
        <v>0</v>
      </c>
      <c r="O820" s="18" t="b">
        <f t="shared" si="38"/>
        <v>0</v>
      </c>
    </row>
    <row r="821" spans="1:15" x14ac:dyDescent="0.35">
      <c r="A821">
        <v>41339</v>
      </c>
      <c r="B821">
        <v>1825</v>
      </c>
      <c r="C821" t="s">
        <v>23</v>
      </c>
      <c r="D821" t="s">
        <v>33</v>
      </c>
      <c r="E821" t="s">
        <v>28</v>
      </c>
      <c r="F821">
        <v>9</v>
      </c>
      <c r="G821">
        <v>11295</v>
      </c>
      <c r="H821">
        <v>3438.1979999999999</v>
      </c>
      <c r="K821" t="str">
        <f t="shared" si="36"/>
        <v>5%</v>
      </c>
      <c r="L821" t="str">
        <f t="shared" si="37"/>
        <v>Good</v>
      </c>
      <c r="M821" t="b">
        <f>TRUE()</f>
        <v>1</v>
      </c>
      <c r="N821" t="b">
        <f>FALSE()</f>
        <v>0</v>
      </c>
      <c r="O821" s="18" t="b">
        <f t="shared" si="38"/>
        <v>0</v>
      </c>
    </row>
    <row r="822" spans="1:15" x14ac:dyDescent="0.35">
      <c r="A822">
        <v>41340</v>
      </c>
      <c r="B822">
        <v>1826</v>
      </c>
      <c r="C822" t="s">
        <v>26</v>
      </c>
      <c r="D822" t="s">
        <v>33</v>
      </c>
      <c r="E822" t="s">
        <v>28</v>
      </c>
      <c r="F822">
        <v>9</v>
      </c>
      <c r="G822">
        <v>5697</v>
      </c>
      <c r="H822">
        <v>4106.3976000000002</v>
      </c>
      <c r="K822" t="str">
        <f t="shared" si="36"/>
        <v>2.5%</v>
      </c>
      <c r="L822" t="str">
        <f t="shared" si="37"/>
        <v>Need Improvement</v>
      </c>
      <c r="M822" t="b">
        <f>TRUE()</f>
        <v>1</v>
      </c>
      <c r="N822" t="b">
        <f>FALSE()</f>
        <v>0</v>
      </c>
      <c r="O822" s="18" t="b">
        <f t="shared" si="38"/>
        <v>0</v>
      </c>
    </row>
    <row r="823" spans="1:15" x14ac:dyDescent="0.35">
      <c r="A823">
        <v>41341</v>
      </c>
      <c r="B823">
        <v>1827</v>
      </c>
      <c r="C823" t="s">
        <v>27</v>
      </c>
      <c r="D823" t="s">
        <v>33</v>
      </c>
      <c r="E823" t="s">
        <v>29</v>
      </c>
      <c r="F823">
        <v>7</v>
      </c>
      <c r="G823">
        <v>10001.25</v>
      </c>
      <c r="H823">
        <v>2616.3270000000002</v>
      </c>
      <c r="K823" t="str">
        <f t="shared" si="36"/>
        <v>5%</v>
      </c>
      <c r="L823" t="str">
        <f t="shared" si="37"/>
        <v>Good</v>
      </c>
      <c r="M823" t="b">
        <f>TRUE()</f>
        <v>1</v>
      </c>
      <c r="N823" t="b">
        <f>FALSE()</f>
        <v>0</v>
      </c>
      <c r="O823" s="18" t="b">
        <f t="shared" si="38"/>
        <v>0</v>
      </c>
    </row>
    <row r="824" spans="1:15" x14ac:dyDescent="0.35">
      <c r="A824">
        <v>41342</v>
      </c>
      <c r="B824">
        <v>1828</v>
      </c>
      <c r="C824" t="s">
        <v>23</v>
      </c>
      <c r="D824" t="s">
        <v>33</v>
      </c>
      <c r="E824" t="s">
        <v>29</v>
      </c>
      <c r="F824">
        <v>6</v>
      </c>
      <c r="G824">
        <v>9045</v>
      </c>
      <c r="H824">
        <v>2658.5064000000002</v>
      </c>
      <c r="K824" t="str">
        <f t="shared" si="36"/>
        <v>2.5%</v>
      </c>
      <c r="L824" t="str">
        <f t="shared" si="37"/>
        <v>Need Improvement</v>
      </c>
      <c r="M824" t="b">
        <f>TRUE()</f>
        <v>1</v>
      </c>
      <c r="N824" t="b">
        <f>FALSE()</f>
        <v>0</v>
      </c>
      <c r="O824" s="18" t="b">
        <f t="shared" si="38"/>
        <v>0</v>
      </c>
    </row>
    <row r="825" spans="1:15" x14ac:dyDescent="0.35">
      <c r="A825">
        <v>41343</v>
      </c>
      <c r="B825">
        <v>1829</v>
      </c>
      <c r="C825" t="s">
        <v>26</v>
      </c>
      <c r="D825" t="s">
        <v>33</v>
      </c>
      <c r="E825" t="s">
        <v>29</v>
      </c>
      <c r="F825">
        <v>7</v>
      </c>
      <c r="G825">
        <v>7980</v>
      </c>
      <c r="H825">
        <v>1240.4112</v>
      </c>
      <c r="K825" t="str">
        <f t="shared" si="36"/>
        <v>2.5%</v>
      </c>
      <c r="L825" t="str">
        <f t="shared" si="37"/>
        <v>Need Improvement</v>
      </c>
      <c r="M825" t="b">
        <f>TRUE()</f>
        <v>1</v>
      </c>
      <c r="N825" t="b">
        <f>FALSE()</f>
        <v>0</v>
      </c>
      <c r="O825" s="18" t="b">
        <f t="shared" si="38"/>
        <v>0</v>
      </c>
    </row>
    <row r="826" spans="1:15" x14ac:dyDescent="0.35">
      <c r="A826">
        <v>41344</v>
      </c>
      <c r="B826">
        <v>1830</v>
      </c>
      <c r="C826" t="s">
        <v>27</v>
      </c>
      <c r="D826" t="s">
        <v>33</v>
      </c>
      <c r="E826" t="s">
        <v>25</v>
      </c>
      <c r="F826">
        <v>10</v>
      </c>
      <c r="G826">
        <v>1725</v>
      </c>
      <c r="H826">
        <v>1082.6100000000001</v>
      </c>
      <c r="K826" t="str">
        <f t="shared" si="36"/>
        <v>1.5%</v>
      </c>
      <c r="L826" t="str">
        <f t="shared" si="37"/>
        <v>Need Improvement</v>
      </c>
      <c r="M826" t="b">
        <f>TRUE()</f>
        <v>1</v>
      </c>
      <c r="N826" t="b">
        <f>FALSE()</f>
        <v>0</v>
      </c>
      <c r="O826" s="18" t="b">
        <f t="shared" si="38"/>
        <v>0</v>
      </c>
    </row>
    <row r="827" spans="1:15" x14ac:dyDescent="0.35">
      <c r="A827">
        <v>41345</v>
      </c>
      <c r="B827">
        <v>1831</v>
      </c>
      <c r="C827" t="s">
        <v>23</v>
      </c>
      <c r="D827" t="s">
        <v>33</v>
      </c>
      <c r="E827" t="s">
        <v>25</v>
      </c>
      <c r="F827">
        <v>10</v>
      </c>
      <c r="G827">
        <v>4080</v>
      </c>
      <c r="H827">
        <v>3821.9399999999996</v>
      </c>
      <c r="K827" t="str">
        <f t="shared" si="36"/>
        <v>1.5%</v>
      </c>
      <c r="L827" t="str">
        <f t="shared" si="37"/>
        <v>Need Improvement</v>
      </c>
      <c r="M827" t="b">
        <f>TRUE()</f>
        <v>1</v>
      </c>
      <c r="N827" t="b">
        <f>FALSE()</f>
        <v>0</v>
      </c>
      <c r="O827" s="18" t="b">
        <f t="shared" si="38"/>
        <v>0</v>
      </c>
    </row>
    <row r="828" spans="1:15" x14ac:dyDescent="0.35">
      <c r="A828">
        <v>41346</v>
      </c>
      <c r="B828">
        <v>1832</v>
      </c>
      <c r="C828" t="s">
        <v>26</v>
      </c>
      <c r="D828" t="s">
        <v>33</v>
      </c>
      <c r="E828" t="s">
        <v>25</v>
      </c>
      <c r="F828">
        <v>8</v>
      </c>
      <c r="G828">
        <v>14880</v>
      </c>
      <c r="H828">
        <v>1169.8656000000001</v>
      </c>
      <c r="K828" t="str">
        <f t="shared" si="36"/>
        <v>5%</v>
      </c>
      <c r="L828" t="str">
        <f t="shared" si="37"/>
        <v>Good</v>
      </c>
      <c r="M828" t="b">
        <f>TRUE()</f>
        <v>1</v>
      </c>
      <c r="N828" t="b">
        <f>FALSE()</f>
        <v>0</v>
      </c>
      <c r="O828" s="18" t="b">
        <f t="shared" si="38"/>
        <v>0</v>
      </c>
    </row>
    <row r="829" spans="1:15" x14ac:dyDescent="0.35">
      <c r="A829">
        <v>41347</v>
      </c>
      <c r="B829">
        <v>1833</v>
      </c>
      <c r="C829" t="s">
        <v>27</v>
      </c>
      <c r="D829" t="s">
        <v>33</v>
      </c>
      <c r="E829" t="s">
        <v>28</v>
      </c>
      <c r="F829">
        <v>9</v>
      </c>
      <c r="G829">
        <v>6925.5</v>
      </c>
      <c r="H829">
        <v>2930.8716000000004</v>
      </c>
      <c r="K829" t="str">
        <f t="shared" si="36"/>
        <v>2.5%</v>
      </c>
      <c r="L829" t="str">
        <f t="shared" si="37"/>
        <v>Need Improvement</v>
      </c>
      <c r="M829" t="b">
        <f>TRUE()</f>
        <v>1</v>
      </c>
      <c r="N829" t="b">
        <f>FALSE()</f>
        <v>0</v>
      </c>
      <c r="O829" s="18" t="b">
        <f t="shared" si="38"/>
        <v>0</v>
      </c>
    </row>
    <row r="830" spans="1:15" x14ac:dyDescent="0.35">
      <c r="A830">
        <v>41348</v>
      </c>
      <c r="B830">
        <v>1834</v>
      </c>
      <c r="C830" t="s">
        <v>23</v>
      </c>
      <c r="D830" t="s">
        <v>33</v>
      </c>
      <c r="E830" t="s">
        <v>28</v>
      </c>
      <c r="F830">
        <v>9</v>
      </c>
      <c r="G830">
        <v>6831</v>
      </c>
      <c r="H830">
        <v>4097.6891999999998</v>
      </c>
      <c r="K830" t="str">
        <f t="shared" si="36"/>
        <v>2.5%</v>
      </c>
      <c r="L830" t="str">
        <f t="shared" si="37"/>
        <v>Need Improvement</v>
      </c>
      <c r="M830" t="b">
        <f>TRUE()</f>
        <v>1</v>
      </c>
      <c r="N830" t="b">
        <f>FALSE()</f>
        <v>0</v>
      </c>
      <c r="O830" s="18" t="b">
        <f t="shared" si="38"/>
        <v>0</v>
      </c>
    </row>
    <row r="831" spans="1:15" x14ac:dyDescent="0.35">
      <c r="A831">
        <v>41349</v>
      </c>
      <c r="B831">
        <v>1835</v>
      </c>
      <c r="C831" t="s">
        <v>26</v>
      </c>
      <c r="D831" t="s">
        <v>33</v>
      </c>
      <c r="E831" t="s">
        <v>28</v>
      </c>
      <c r="F831">
        <v>9</v>
      </c>
      <c r="G831">
        <v>1957.5</v>
      </c>
      <c r="H831">
        <v>1549.9485</v>
      </c>
      <c r="K831" t="str">
        <f t="shared" si="36"/>
        <v>1.5%</v>
      </c>
      <c r="L831" t="str">
        <f t="shared" si="37"/>
        <v>Need Improvement</v>
      </c>
      <c r="M831" t="b">
        <f>TRUE()</f>
        <v>1</v>
      </c>
      <c r="N831" t="b">
        <f>FALSE()</f>
        <v>0</v>
      </c>
      <c r="O831" s="18" t="b">
        <f t="shared" si="38"/>
        <v>0</v>
      </c>
    </row>
    <row r="832" spans="1:15" x14ac:dyDescent="0.35">
      <c r="A832">
        <v>41350</v>
      </c>
      <c r="B832">
        <v>1836</v>
      </c>
      <c r="C832" t="s">
        <v>27</v>
      </c>
      <c r="D832" t="s">
        <v>33</v>
      </c>
      <c r="E832" t="s">
        <v>29</v>
      </c>
      <c r="F832">
        <v>9</v>
      </c>
      <c r="G832">
        <v>10260</v>
      </c>
      <c r="H832">
        <v>3351.942</v>
      </c>
      <c r="K832" t="str">
        <f t="shared" si="36"/>
        <v>5%</v>
      </c>
      <c r="L832" t="str">
        <f t="shared" si="37"/>
        <v>Good</v>
      </c>
      <c r="M832" t="b">
        <f>TRUE()</f>
        <v>1</v>
      </c>
      <c r="N832" t="b">
        <f>FALSE()</f>
        <v>0</v>
      </c>
      <c r="O832" s="18" t="b">
        <f t="shared" si="38"/>
        <v>0</v>
      </c>
    </row>
    <row r="833" spans="1:15" x14ac:dyDescent="0.35">
      <c r="A833">
        <v>41351</v>
      </c>
      <c r="B833">
        <v>1837</v>
      </c>
      <c r="C833" t="s">
        <v>23</v>
      </c>
      <c r="D833" t="s">
        <v>33</v>
      </c>
      <c r="E833" t="s">
        <v>29</v>
      </c>
      <c r="F833">
        <v>6</v>
      </c>
      <c r="G833">
        <v>7668</v>
      </c>
      <c r="H833">
        <v>1401.7103999999999</v>
      </c>
      <c r="K833" t="str">
        <f t="shared" si="36"/>
        <v>2.5%</v>
      </c>
      <c r="L833" t="str">
        <f t="shared" si="37"/>
        <v>Need Improvement</v>
      </c>
      <c r="M833" t="b">
        <f>TRUE()</f>
        <v>1</v>
      </c>
      <c r="N833" t="b">
        <f>FALSE()</f>
        <v>0</v>
      </c>
      <c r="O833" s="18" t="b">
        <f t="shared" si="38"/>
        <v>0</v>
      </c>
    </row>
    <row r="834" spans="1:15" x14ac:dyDescent="0.35">
      <c r="A834">
        <v>41352</v>
      </c>
      <c r="B834">
        <v>1838</v>
      </c>
      <c r="C834" t="s">
        <v>26</v>
      </c>
      <c r="D834" t="s">
        <v>33</v>
      </c>
      <c r="E834" t="s">
        <v>29</v>
      </c>
      <c r="F834">
        <v>6</v>
      </c>
      <c r="G834">
        <v>4482</v>
      </c>
      <c r="H834">
        <v>1760.9778000000001</v>
      </c>
      <c r="K834" t="str">
        <f t="shared" si="36"/>
        <v>1.5%</v>
      </c>
      <c r="L834" t="str">
        <f t="shared" si="37"/>
        <v>Need Improvement</v>
      </c>
      <c r="M834" t="b">
        <f>TRUE()</f>
        <v>1</v>
      </c>
      <c r="N834" t="b">
        <f>FALSE()</f>
        <v>0</v>
      </c>
      <c r="O834" s="18" t="b">
        <f t="shared" si="38"/>
        <v>0</v>
      </c>
    </row>
    <row r="835" spans="1:15" x14ac:dyDescent="0.35">
      <c r="A835">
        <v>41353</v>
      </c>
      <c r="B835">
        <v>1839</v>
      </c>
      <c r="C835" t="s">
        <v>27</v>
      </c>
      <c r="D835" t="s">
        <v>33</v>
      </c>
      <c r="E835" t="s">
        <v>25</v>
      </c>
      <c r="F835">
        <v>7</v>
      </c>
      <c r="G835">
        <v>6048</v>
      </c>
      <c r="H835">
        <v>503.79839999999996</v>
      </c>
      <c r="K835" t="str">
        <f t="shared" ref="K835:K898" si="39">IF(G835&gt;10000,"5%",IF(AND(G835&gt;=5000,G835&lt;10000),"2.5%","1.5%"))</f>
        <v>2.5%</v>
      </c>
      <c r="L835" t="str">
        <f t="shared" ref="L835:L898" si="40">IF(OR(G835&gt;10000,H835&gt;=5000),"Good","Need Improvement")</f>
        <v>Need Improvement</v>
      </c>
      <c r="M835" t="b">
        <f>TRUE()</f>
        <v>1</v>
      </c>
      <c r="N835" t="b">
        <f>FALSE()</f>
        <v>0</v>
      </c>
      <c r="O835" s="18" t="b">
        <f t="shared" ref="O835:O898" si="41">NOT(M835)</f>
        <v>0</v>
      </c>
    </row>
    <row r="836" spans="1:15" x14ac:dyDescent="0.35">
      <c r="A836">
        <v>41354</v>
      </c>
      <c r="B836">
        <v>1840</v>
      </c>
      <c r="C836" t="s">
        <v>23</v>
      </c>
      <c r="D836" t="s">
        <v>33</v>
      </c>
      <c r="E836" t="s">
        <v>25</v>
      </c>
      <c r="F836">
        <v>6</v>
      </c>
      <c r="G836">
        <v>1791</v>
      </c>
      <c r="H836">
        <v>3220.9344000000001</v>
      </c>
      <c r="K836" t="str">
        <f t="shared" si="39"/>
        <v>1.5%</v>
      </c>
      <c r="L836" t="str">
        <f t="shared" si="40"/>
        <v>Need Improvement</v>
      </c>
      <c r="M836" t="b">
        <f>TRUE()</f>
        <v>1</v>
      </c>
      <c r="N836" t="b">
        <f>FALSE()</f>
        <v>0</v>
      </c>
      <c r="O836" s="18" t="b">
        <f t="shared" si="41"/>
        <v>0</v>
      </c>
    </row>
    <row r="837" spans="1:15" x14ac:dyDescent="0.35">
      <c r="A837">
        <v>41355</v>
      </c>
      <c r="B837">
        <v>1841</v>
      </c>
      <c r="C837" t="s">
        <v>26</v>
      </c>
      <c r="D837" t="s">
        <v>33</v>
      </c>
      <c r="E837" t="s">
        <v>25</v>
      </c>
      <c r="F837">
        <v>8</v>
      </c>
      <c r="G837">
        <v>2604</v>
      </c>
      <c r="H837">
        <v>4309.0992000000006</v>
      </c>
      <c r="K837" t="str">
        <f t="shared" si="39"/>
        <v>1.5%</v>
      </c>
      <c r="L837" t="str">
        <f t="shared" si="40"/>
        <v>Need Improvement</v>
      </c>
      <c r="M837" t="b">
        <f>TRUE()</f>
        <v>1</v>
      </c>
      <c r="N837" t="b">
        <f>FALSE()</f>
        <v>0</v>
      </c>
      <c r="O837" s="18" t="b">
        <f t="shared" si="41"/>
        <v>0</v>
      </c>
    </row>
    <row r="838" spans="1:15" x14ac:dyDescent="0.35">
      <c r="A838">
        <v>41356</v>
      </c>
      <c r="B838">
        <v>2196</v>
      </c>
      <c r="C838" t="s">
        <v>27</v>
      </c>
      <c r="D838" t="s">
        <v>33</v>
      </c>
      <c r="E838" t="s">
        <v>29</v>
      </c>
      <c r="F838">
        <v>6</v>
      </c>
      <c r="G838">
        <v>8172</v>
      </c>
      <c r="H838">
        <v>2018.2797</v>
      </c>
      <c r="K838" t="str">
        <f t="shared" si="39"/>
        <v>2.5%</v>
      </c>
      <c r="L838" t="str">
        <f t="shared" si="40"/>
        <v>Need Improvement</v>
      </c>
      <c r="M838" t="b">
        <f>TRUE()</f>
        <v>1</v>
      </c>
      <c r="N838" t="b">
        <f>FALSE()</f>
        <v>0</v>
      </c>
      <c r="O838" s="18" t="b">
        <f t="shared" si="41"/>
        <v>0</v>
      </c>
    </row>
    <row r="839" spans="1:15" x14ac:dyDescent="0.35">
      <c r="A839">
        <v>41357</v>
      </c>
      <c r="B839">
        <v>2562</v>
      </c>
      <c r="C839" t="s">
        <v>27</v>
      </c>
      <c r="D839" t="s">
        <v>33</v>
      </c>
      <c r="E839" t="s">
        <v>28</v>
      </c>
      <c r="F839">
        <v>6</v>
      </c>
      <c r="G839">
        <v>7020</v>
      </c>
      <c r="H839">
        <v>2369.25</v>
      </c>
      <c r="K839" t="str">
        <f t="shared" si="39"/>
        <v>2.5%</v>
      </c>
      <c r="L839" t="str">
        <f t="shared" si="40"/>
        <v>Need Improvement</v>
      </c>
      <c r="M839" t="b">
        <f>TRUE()</f>
        <v>1</v>
      </c>
      <c r="N839" t="b">
        <f>FALSE()</f>
        <v>0</v>
      </c>
      <c r="O839" s="18" t="b">
        <f t="shared" si="41"/>
        <v>0</v>
      </c>
    </row>
    <row r="840" spans="1:15" x14ac:dyDescent="0.35">
      <c r="A840">
        <v>41358</v>
      </c>
      <c r="B840">
        <v>2197</v>
      </c>
      <c r="C840" t="s">
        <v>23</v>
      </c>
      <c r="D840" t="s">
        <v>33</v>
      </c>
      <c r="E840" t="s">
        <v>29</v>
      </c>
      <c r="F840">
        <v>6</v>
      </c>
      <c r="G840">
        <v>3978</v>
      </c>
      <c r="H840">
        <v>735.53219999999999</v>
      </c>
      <c r="K840" t="str">
        <f t="shared" si="39"/>
        <v>1.5%</v>
      </c>
      <c r="L840" t="str">
        <f t="shared" si="40"/>
        <v>Need Improvement</v>
      </c>
      <c r="M840" t="b">
        <f>TRUE()</f>
        <v>1</v>
      </c>
      <c r="N840" t="b">
        <f>FALSE()</f>
        <v>0</v>
      </c>
      <c r="O840" s="18" t="b">
        <f t="shared" si="41"/>
        <v>0</v>
      </c>
    </row>
    <row r="841" spans="1:15" x14ac:dyDescent="0.35">
      <c r="A841">
        <v>41359</v>
      </c>
      <c r="B841">
        <v>2563</v>
      </c>
      <c r="C841" t="s">
        <v>23</v>
      </c>
      <c r="D841" t="s">
        <v>33</v>
      </c>
      <c r="E841" t="s">
        <v>28</v>
      </c>
      <c r="F841">
        <v>8</v>
      </c>
      <c r="G841">
        <v>7920</v>
      </c>
      <c r="H841">
        <v>3519.45</v>
      </c>
      <c r="K841" t="str">
        <f t="shared" si="39"/>
        <v>2.5%</v>
      </c>
      <c r="L841" t="str">
        <f t="shared" si="40"/>
        <v>Need Improvement</v>
      </c>
      <c r="M841" t="b">
        <f>TRUE()</f>
        <v>1</v>
      </c>
      <c r="N841" t="b">
        <f>FALSE()</f>
        <v>0</v>
      </c>
      <c r="O841" s="18" t="b">
        <f t="shared" si="41"/>
        <v>0</v>
      </c>
    </row>
    <row r="842" spans="1:15" x14ac:dyDescent="0.35">
      <c r="A842">
        <v>41360</v>
      </c>
      <c r="B842">
        <v>2198</v>
      </c>
      <c r="C842" t="s">
        <v>26</v>
      </c>
      <c r="D842" t="s">
        <v>33</v>
      </c>
      <c r="E842" t="s">
        <v>29</v>
      </c>
      <c r="F842">
        <v>9</v>
      </c>
      <c r="G842">
        <v>11178</v>
      </c>
      <c r="H842">
        <v>4783.0661999999993</v>
      </c>
      <c r="K842" t="str">
        <f t="shared" si="39"/>
        <v>5%</v>
      </c>
      <c r="L842" t="str">
        <f t="shared" si="40"/>
        <v>Good</v>
      </c>
      <c r="M842" t="b">
        <f>TRUE()</f>
        <v>1</v>
      </c>
      <c r="N842" t="b">
        <f>FALSE()</f>
        <v>0</v>
      </c>
      <c r="O842" s="18" t="b">
        <f t="shared" si="41"/>
        <v>0</v>
      </c>
    </row>
    <row r="843" spans="1:15" x14ac:dyDescent="0.35">
      <c r="A843">
        <v>41361</v>
      </c>
      <c r="B843">
        <v>2564</v>
      </c>
      <c r="C843" t="s">
        <v>26</v>
      </c>
      <c r="D843" t="s">
        <v>33</v>
      </c>
      <c r="E843" t="s">
        <v>28</v>
      </c>
      <c r="F843">
        <v>6</v>
      </c>
      <c r="G843">
        <v>3150</v>
      </c>
      <c r="H843">
        <v>2264.85</v>
      </c>
      <c r="K843" t="str">
        <f t="shared" si="39"/>
        <v>1.5%</v>
      </c>
      <c r="L843" t="str">
        <f t="shared" si="40"/>
        <v>Need Improvement</v>
      </c>
      <c r="M843" t="b">
        <f>TRUE()</f>
        <v>1</v>
      </c>
      <c r="N843" t="b">
        <f>FALSE()</f>
        <v>0</v>
      </c>
      <c r="O843" s="18" t="b">
        <f t="shared" si="41"/>
        <v>0</v>
      </c>
    </row>
    <row r="844" spans="1:15" x14ac:dyDescent="0.35">
      <c r="A844">
        <v>41362</v>
      </c>
      <c r="B844">
        <v>2199</v>
      </c>
      <c r="C844" t="s">
        <v>27</v>
      </c>
      <c r="D844" t="s">
        <v>33</v>
      </c>
      <c r="E844" t="s">
        <v>25</v>
      </c>
      <c r="F844">
        <v>8</v>
      </c>
      <c r="G844">
        <v>6096</v>
      </c>
      <c r="H844">
        <v>1445.9712</v>
      </c>
      <c r="K844" t="str">
        <f t="shared" si="39"/>
        <v>2.5%</v>
      </c>
      <c r="L844" t="str">
        <f t="shared" si="40"/>
        <v>Need Improvement</v>
      </c>
      <c r="M844" t="b">
        <f>TRUE()</f>
        <v>1</v>
      </c>
      <c r="N844" t="b">
        <f>FALSE()</f>
        <v>0</v>
      </c>
      <c r="O844" s="18" t="b">
        <f t="shared" si="41"/>
        <v>0</v>
      </c>
    </row>
    <row r="845" spans="1:15" x14ac:dyDescent="0.35">
      <c r="A845">
        <v>41363</v>
      </c>
      <c r="B845">
        <v>2565</v>
      </c>
      <c r="C845" t="s">
        <v>27</v>
      </c>
      <c r="D845" t="s">
        <v>33</v>
      </c>
      <c r="E845" t="s">
        <v>29</v>
      </c>
      <c r="F845">
        <v>9</v>
      </c>
      <c r="G845">
        <v>6135.75</v>
      </c>
      <c r="H845">
        <v>1783.8670499999998</v>
      </c>
      <c r="K845" t="str">
        <f t="shared" si="39"/>
        <v>2.5%</v>
      </c>
      <c r="L845" t="str">
        <f t="shared" si="40"/>
        <v>Need Improvement</v>
      </c>
      <c r="M845" t="b">
        <f>TRUE()</f>
        <v>1</v>
      </c>
      <c r="N845" t="b">
        <f>FALSE()</f>
        <v>0</v>
      </c>
      <c r="O845" s="18" t="b">
        <f t="shared" si="41"/>
        <v>0</v>
      </c>
    </row>
    <row r="846" spans="1:15" x14ac:dyDescent="0.35">
      <c r="A846">
        <v>41364</v>
      </c>
      <c r="B846">
        <v>2200</v>
      </c>
      <c r="C846" t="s">
        <v>23</v>
      </c>
      <c r="D846" t="s">
        <v>33</v>
      </c>
      <c r="E846" t="s">
        <v>25</v>
      </c>
      <c r="F846">
        <v>8</v>
      </c>
      <c r="G846">
        <v>7248</v>
      </c>
      <c r="H846">
        <v>3665.6759999999995</v>
      </c>
      <c r="K846" t="str">
        <f t="shared" si="39"/>
        <v>2.5%</v>
      </c>
      <c r="L846" t="str">
        <f t="shared" si="40"/>
        <v>Need Improvement</v>
      </c>
      <c r="M846" t="b">
        <f>TRUE()</f>
        <v>1</v>
      </c>
      <c r="N846" t="b">
        <f>FALSE()</f>
        <v>0</v>
      </c>
      <c r="O846" s="18" t="b">
        <f t="shared" si="41"/>
        <v>0</v>
      </c>
    </row>
    <row r="847" spans="1:15" x14ac:dyDescent="0.35">
      <c r="A847">
        <v>41365</v>
      </c>
      <c r="B847">
        <v>2566</v>
      </c>
      <c r="C847" t="s">
        <v>23</v>
      </c>
      <c r="D847" t="s">
        <v>33</v>
      </c>
      <c r="E847" t="s">
        <v>29</v>
      </c>
      <c r="F847">
        <v>7</v>
      </c>
      <c r="G847">
        <v>3108</v>
      </c>
      <c r="H847">
        <v>605.90460000000007</v>
      </c>
      <c r="K847" t="str">
        <f t="shared" si="39"/>
        <v>1.5%</v>
      </c>
      <c r="L847" t="str">
        <f t="shared" si="40"/>
        <v>Need Improvement</v>
      </c>
      <c r="M847" t="b">
        <f>TRUE()</f>
        <v>1</v>
      </c>
      <c r="N847" t="b">
        <f>FALSE()</f>
        <v>0</v>
      </c>
      <c r="O847" s="18" t="b">
        <f t="shared" si="41"/>
        <v>0</v>
      </c>
    </row>
    <row r="848" spans="1:15" x14ac:dyDescent="0.35">
      <c r="A848">
        <v>41366</v>
      </c>
      <c r="B848">
        <v>2201</v>
      </c>
      <c r="C848" t="s">
        <v>26</v>
      </c>
      <c r="D848" t="s">
        <v>33</v>
      </c>
      <c r="E848" t="s">
        <v>25</v>
      </c>
      <c r="F848">
        <v>6</v>
      </c>
      <c r="G848">
        <v>1935</v>
      </c>
      <c r="H848">
        <v>637.77600000000007</v>
      </c>
      <c r="K848" t="str">
        <f t="shared" si="39"/>
        <v>1.5%</v>
      </c>
      <c r="L848" t="str">
        <f t="shared" si="40"/>
        <v>Need Improvement</v>
      </c>
      <c r="M848" t="b">
        <f>TRUE()</f>
        <v>1</v>
      </c>
      <c r="N848" t="b">
        <f>FALSE()</f>
        <v>0</v>
      </c>
      <c r="O848" s="18" t="b">
        <f t="shared" si="41"/>
        <v>0</v>
      </c>
    </row>
    <row r="849" spans="1:15" x14ac:dyDescent="0.35">
      <c r="A849">
        <v>41367</v>
      </c>
      <c r="B849">
        <v>2567</v>
      </c>
      <c r="C849" t="s">
        <v>26</v>
      </c>
      <c r="D849" t="s">
        <v>33</v>
      </c>
      <c r="E849" t="s">
        <v>29</v>
      </c>
      <c r="F849">
        <v>9</v>
      </c>
      <c r="G849">
        <v>7411.5</v>
      </c>
      <c r="H849">
        <v>4191.9444000000003</v>
      </c>
      <c r="K849" t="str">
        <f t="shared" si="39"/>
        <v>2.5%</v>
      </c>
      <c r="L849" t="str">
        <f t="shared" si="40"/>
        <v>Need Improvement</v>
      </c>
      <c r="M849" t="b">
        <f>TRUE()</f>
        <v>1</v>
      </c>
      <c r="N849" t="b">
        <f>FALSE()</f>
        <v>0</v>
      </c>
      <c r="O849" s="18" t="b">
        <f t="shared" si="41"/>
        <v>0</v>
      </c>
    </row>
    <row r="850" spans="1:15" x14ac:dyDescent="0.35">
      <c r="A850">
        <v>41368</v>
      </c>
      <c r="B850">
        <v>2202</v>
      </c>
      <c r="C850" t="s">
        <v>27</v>
      </c>
      <c r="D850" t="s">
        <v>33</v>
      </c>
      <c r="E850" t="s">
        <v>28</v>
      </c>
      <c r="F850">
        <v>7</v>
      </c>
      <c r="G850">
        <v>8568</v>
      </c>
      <c r="H850">
        <v>5873.3639999999996</v>
      </c>
      <c r="K850" t="str">
        <f t="shared" si="39"/>
        <v>2.5%</v>
      </c>
      <c r="L850" t="str">
        <f t="shared" si="40"/>
        <v>Good</v>
      </c>
      <c r="M850" t="b">
        <f>TRUE()</f>
        <v>1</v>
      </c>
      <c r="N850" t="b">
        <f>FALSE()</f>
        <v>0</v>
      </c>
      <c r="O850" s="18" t="b">
        <f t="shared" si="41"/>
        <v>0</v>
      </c>
    </row>
    <row r="851" spans="1:15" x14ac:dyDescent="0.35">
      <c r="A851">
        <v>41369</v>
      </c>
      <c r="B851">
        <v>2568</v>
      </c>
      <c r="C851" t="s">
        <v>27</v>
      </c>
      <c r="D851" t="s">
        <v>33</v>
      </c>
      <c r="E851" t="s">
        <v>25</v>
      </c>
      <c r="F851">
        <v>10</v>
      </c>
      <c r="G851">
        <v>8880</v>
      </c>
      <c r="H851">
        <v>4962.8100000000004</v>
      </c>
      <c r="K851" t="str">
        <f t="shared" si="39"/>
        <v>2.5%</v>
      </c>
      <c r="L851" t="str">
        <f t="shared" si="40"/>
        <v>Need Improvement</v>
      </c>
      <c r="M851" t="b">
        <f>TRUE()</f>
        <v>1</v>
      </c>
      <c r="N851" t="b">
        <f>FALSE()</f>
        <v>0</v>
      </c>
      <c r="O851" s="18" t="b">
        <f t="shared" si="41"/>
        <v>0</v>
      </c>
    </row>
    <row r="852" spans="1:15" x14ac:dyDescent="0.35">
      <c r="A852">
        <v>41370</v>
      </c>
      <c r="B852">
        <v>2203</v>
      </c>
      <c r="C852" t="s">
        <v>23</v>
      </c>
      <c r="D852" t="s">
        <v>33</v>
      </c>
      <c r="E852" t="s">
        <v>28</v>
      </c>
      <c r="F852">
        <v>10</v>
      </c>
      <c r="G852">
        <v>6255</v>
      </c>
      <c r="H852">
        <v>3148.35</v>
      </c>
      <c r="K852" t="str">
        <f t="shared" si="39"/>
        <v>2.5%</v>
      </c>
      <c r="L852" t="str">
        <f t="shared" si="40"/>
        <v>Need Improvement</v>
      </c>
      <c r="M852" t="b">
        <f>TRUE()</f>
        <v>1</v>
      </c>
      <c r="N852" t="b">
        <f>FALSE()</f>
        <v>0</v>
      </c>
      <c r="O852" s="18" t="b">
        <f t="shared" si="41"/>
        <v>0</v>
      </c>
    </row>
    <row r="853" spans="1:15" x14ac:dyDescent="0.35">
      <c r="A853">
        <v>41371</v>
      </c>
      <c r="B853">
        <v>2569</v>
      </c>
      <c r="C853" t="s">
        <v>23</v>
      </c>
      <c r="D853" t="s">
        <v>33</v>
      </c>
      <c r="E853" t="s">
        <v>25</v>
      </c>
      <c r="F853">
        <v>6</v>
      </c>
      <c r="G853">
        <v>7992</v>
      </c>
      <c r="H853">
        <v>3956.5727999999999</v>
      </c>
      <c r="K853" t="str">
        <f t="shared" si="39"/>
        <v>2.5%</v>
      </c>
      <c r="L853" t="str">
        <f t="shared" si="40"/>
        <v>Need Improvement</v>
      </c>
      <c r="M853" t="b">
        <f>TRUE()</f>
        <v>1</v>
      </c>
      <c r="N853" t="b">
        <f>FALSE()</f>
        <v>0</v>
      </c>
      <c r="O853" s="18" t="b">
        <f t="shared" si="41"/>
        <v>0</v>
      </c>
    </row>
    <row r="854" spans="1:15" x14ac:dyDescent="0.35">
      <c r="A854">
        <v>41372</v>
      </c>
      <c r="B854">
        <v>2204</v>
      </c>
      <c r="C854" t="s">
        <v>26</v>
      </c>
      <c r="D854" t="s">
        <v>33</v>
      </c>
      <c r="E854" t="s">
        <v>28</v>
      </c>
      <c r="F854">
        <v>10</v>
      </c>
      <c r="G854">
        <v>6660</v>
      </c>
      <c r="H854">
        <v>1922.9639999999999</v>
      </c>
      <c r="K854" t="str">
        <f t="shared" si="39"/>
        <v>2.5%</v>
      </c>
      <c r="L854" t="str">
        <f t="shared" si="40"/>
        <v>Need Improvement</v>
      </c>
      <c r="M854" t="b">
        <f>TRUE()</f>
        <v>1</v>
      </c>
      <c r="N854" t="b">
        <f>FALSE()</f>
        <v>0</v>
      </c>
      <c r="O854" s="18" t="b">
        <f t="shared" si="41"/>
        <v>0</v>
      </c>
    </row>
    <row r="855" spans="1:15" x14ac:dyDescent="0.35">
      <c r="A855">
        <v>41373</v>
      </c>
      <c r="B855">
        <v>2570</v>
      </c>
      <c r="C855" t="s">
        <v>26</v>
      </c>
      <c r="D855" t="s">
        <v>33</v>
      </c>
      <c r="E855" t="s">
        <v>25</v>
      </c>
      <c r="F855">
        <v>7</v>
      </c>
      <c r="G855">
        <v>5607</v>
      </c>
      <c r="H855">
        <v>591.35159999999996</v>
      </c>
      <c r="K855" t="str">
        <f t="shared" si="39"/>
        <v>2.5%</v>
      </c>
      <c r="L855" t="str">
        <f t="shared" si="40"/>
        <v>Need Improvement</v>
      </c>
      <c r="M855" t="b">
        <f>TRUE()</f>
        <v>1</v>
      </c>
      <c r="N855" t="b">
        <f>FALSE()</f>
        <v>0</v>
      </c>
      <c r="O855" s="18" t="b">
        <f t="shared" si="41"/>
        <v>0</v>
      </c>
    </row>
    <row r="856" spans="1:15" x14ac:dyDescent="0.35">
      <c r="A856">
        <v>41374</v>
      </c>
      <c r="B856">
        <v>2205</v>
      </c>
      <c r="C856" t="s">
        <v>27</v>
      </c>
      <c r="D856" t="s">
        <v>33</v>
      </c>
      <c r="E856" t="s">
        <v>29</v>
      </c>
      <c r="F856">
        <v>9</v>
      </c>
      <c r="G856">
        <v>13410</v>
      </c>
      <c r="H856">
        <v>2911.0428000000002</v>
      </c>
      <c r="K856" t="str">
        <f t="shared" si="39"/>
        <v>5%</v>
      </c>
      <c r="L856" t="str">
        <f t="shared" si="40"/>
        <v>Good</v>
      </c>
      <c r="M856" t="b">
        <f>TRUE()</f>
        <v>1</v>
      </c>
      <c r="N856" t="b">
        <f>FALSE()</f>
        <v>0</v>
      </c>
      <c r="O856" s="18" t="b">
        <f t="shared" si="41"/>
        <v>0</v>
      </c>
    </row>
    <row r="857" spans="1:15" x14ac:dyDescent="0.35">
      <c r="A857">
        <v>41375</v>
      </c>
      <c r="B857">
        <v>2571</v>
      </c>
      <c r="C857" t="s">
        <v>27</v>
      </c>
      <c r="D857" t="s">
        <v>33</v>
      </c>
      <c r="E857" t="s">
        <v>28</v>
      </c>
      <c r="F857">
        <v>10</v>
      </c>
      <c r="G857">
        <v>4770</v>
      </c>
      <c r="H857">
        <v>2509.9740000000002</v>
      </c>
      <c r="K857" t="str">
        <f t="shared" si="39"/>
        <v>1.5%</v>
      </c>
      <c r="L857" t="str">
        <f t="shared" si="40"/>
        <v>Need Improvement</v>
      </c>
      <c r="M857" t="b">
        <f>TRUE()</f>
        <v>1</v>
      </c>
      <c r="N857" t="b">
        <f>FALSE()</f>
        <v>0</v>
      </c>
      <c r="O857" s="18" t="b">
        <f t="shared" si="41"/>
        <v>0</v>
      </c>
    </row>
    <row r="858" spans="1:15" x14ac:dyDescent="0.35">
      <c r="A858">
        <v>41376</v>
      </c>
      <c r="B858">
        <v>2206</v>
      </c>
      <c r="C858" t="s">
        <v>23</v>
      </c>
      <c r="D858" t="s">
        <v>33</v>
      </c>
      <c r="E858" t="s">
        <v>29</v>
      </c>
      <c r="F858">
        <v>6</v>
      </c>
      <c r="G858">
        <v>2673</v>
      </c>
      <c r="H858">
        <v>2986.2755999999999</v>
      </c>
      <c r="K858" t="str">
        <f t="shared" si="39"/>
        <v>1.5%</v>
      </c>
      <c r="L858" t="str">
        <f t="shared" si="40"/>
        <v>Need Improvement</v>
      </c>
      <c r="M858" t="b">
        <f>TRUE()</f>
        <v>1</v>
      </c>
      <c r="N858" t="b">
        <f>FALSE()</f>
        <v>0</v>
      </c>
      <c r="O858" s="18" t="b">
        <f t="shared" si="41"/>
        <v>0</v>
      </c>
    </row>
    <row r="859" spans="1:15" x14ac:dyDescent="0.35">
      <c r="A859">
        <v>41377</v>
      </c>
      <c r="B859">
        <v>2572</v>
      </c>
      <c r="C859" t="s">
        <v>23</v>
      </c>
      <c r="D859" t="s">
        <v>33</v>
      </c>
      <c r="E859" t="s">
        <v>28</v>
      </c>
      <c r="F859">
        <v>9</v>
      </c>
      <c r="G859">
        <v>6378.75</v>
      </c>
      <c r="H859">
        <v>702.08774999999991</v>
      </c>
      <c r="K859" t="str">
        <f t="shared" si="39"/>
        <v>2.5%</v>
      </c>
      <c r="L859" t="str">
        <f t="shared" si="40"/>
        <v>Need Improvement</v>
      </c>
      <c r="M859" t="b">
        <f>TRUE()</f>
        <v>1</v>
      </c>
      <c r="N859" t="b">
        <f>FALSE()</f>
        <v>0</v>
      </c>
      <c r="O859" s="18" t="b">
        <f t="shared" si="41"/>
        <v>0</v>
      </c>
    </row>
    <row r="860" spans="1:15" x14ac:dyDescent="0.35">
      <c r="A860">
        <v>41378</v>
      </c>
      <c r="B860">
        <v>2207</v>
      </c>
      <c r="C860" t="s">
        <v>26</v>
      </c>
      <c r="D860" t="s">
        <v>33</v>
      </c>
      <c r="E860" t="s">
        <v>29</v>
      </c>
      <c r="F860">
        <v>7</v>
      </c>
      <c r="G860">
        <v>4882.5</v>
      </c>
      <c r="H860">
        <v>687.94425000000001</v>
      </c>
      <c r="K860" t="str">
        <f t="shared" si="39"/>
        <v>1.5%</v>
      </c>
      <c r="L860" t="str">
        <f t="shared" si="40"/>
        <v>Need Improvement</v>
      </c>
      <c r="M860" t="b">
        <f>TRUE()</f>
        <v>1</v>
      </c>
      <c r="N860" t="b">
        <f>FALSE()</f>
        <v>0</v>
      </c>
      <c r="O860" s="18" t="b">
        <f t="shared" si="41"/>
        <v>0</v>
      </c>
    </row>
    <row r="861" spans="1:15" x14ac:dyDescent="0.35">
      <c r="A861">
        <v>41379</v>
      </c>
      <c r="B861">
        <v>2573</v>
      </c>
      <c r="C861" t="s">
        <v>26</v>
      </c>
      <c r="D861" t="s">
        <v>33</v>
      </c>
      <c r="E861" t="s">
        <v>28</v>
      </c>
      <c r="F861">
        <v>6</v>
      </c>
      <c r="G861">
        <v>4401</v>
      </c>
      <c r="H861">
        <v>2591.7489000000005</v>
      </c>
      <c r="K861" t="str">
        <f t="shared" si="39"/>
        <v>1.5%</v>
      </c>
      <c r="L861" t="str">
        <f t="shared" si="40"/>
        <v>Need Improvement</v>
      </c>
      <c r="M861" t="b">
        <f>TRUE()</f>
        <v>1</v>
      </c>
      <c r="N861" t="b">
        <f>FALSE()</f>
        <v>0</v>
      </c>
      <c r="O861" s="18" t="b">
        <f t="shared" si="41"/>
        <v>0</v>
      </c>
    </row>
    <row r="862" spans="1:15" x14ac:dyDescent="0.35">
      <c r="A862">
        <v>41380</v>
      </c>
      <c r="B862">
        <v>2208</v>
      </c>
      <c r="C862" t="s">
        <v>27</v>
      </c>
      <c r="D862" t="s">
        <v>33</v>
      </c>
      <c r="E862" t="s">
        <v>25</v>
      </c>
      <c r="F862">
        <v>6</v>
      </c>
      <c r="G862">
        <v>9720</v>
      </c>
      <c r="H862">
        <v>3403.5551999999998</v>
      </c>
      <c r="K862" t="str">
        <f t="shared" si="39"/>
        <v>2.5%</v>
      </c>
      <c r="L862" t="str">
        <f t="shared" si="40"/>
        <v>Need Improvement</v>
      </c>
      <c r="M862" t="b">
        <f>TRUE()</f>
        <v>1</v>
      </c>
      <c r="N862" t="b">
        <f>FALSE()</f>
        <v>0</v>
      </c>
      <c r="O862" s="18" t="b">
        <f t="shared" si="41"/>
        <v>0</v>
      </c>
    </row>
    <row r="863" spans="1:15" x14ac:dyDescent="0.35">
      <c r="A863">
        <v>41381</v>
      </c>
      <c r="B863">
        <v>2574</v>
      </c>
      <c r="C863" t="s">
        <v>27</v>
      </c>
      <c r="D863" t="s">
        <v>33</v>
      </c>
      <c r="E863" t="s">
        <v>29</v>
      </c>
      <c r="F863">
        <v>7</v>
      </c>
      <c r="G863">
        <v>3990</v>
      </c>
      <c r="H863">
        <v>1372.9590000000001</v>
      </c>
      <c r="K863" t="str">
        <f t="shared" si="39"/>
        <v>1.5%</v>
      </c>
      <c r="L863" t="str">
        <f t="shared" si="40"/>
        <v>Need Improvement</v>
      </c>
      <c r="M863" t="b">
        <f>TRUE()</f>
        <v>1</v>
      </c>
      <c r="N863" t="b">
        <f>FALSE()</f>
        <v>0</v>
      </c>
      <c r="O863" s="18" t="b">
        <f t="shared" si="41"/>
        <v>0</v>
      </c>
    </row>
    <row r="864" spans="1:15" x14ac:dyDescent="0.35">
      <c r="A864">
        <v>41382</v>
      </c>
      <c r="B864">
        <v>2209</v>
      </c>
      <c r="C864" t="s">
        <v>23</v>
      </c>
      <c r="D864" t="s">
        <v>33</v>
      </c>
      <c r="E864" t="s">
        <v>25</v>
      </c>
      <c r="F864">
        <v>9</v>
      </c>
      <c r="G864">
        <v>2349</v>
      </c>
      <c r="H864">
        <v>3937.8635999999997</v>
      </c>
      <c r="K864" t="str">
        <f t="shared" si="39"/>
        <v>1.5%</v>
      </c>
      <c r="L864" t="str">
        <f t="shared" si="40"/>
        <v>Need Improvement</v>
      </c>
      <c r="M864" t="b">
        <f>TRUE()</f>
        <v>1</v>
      </c>
      <c r="N864" t="b">
        <f>FALSE()</f>
        <v>0</v>
      </c>
      <c r="O864" s="18" t="b">
        <f t="shared" si="41"/>
        <v>0</v>
      </c>
    </row>
    <row r="865" spans="1:15" x14ac:dyDescent="0.35">
      <c r="A865">
        <v>41383</v>
      </c>
      <c r="B865">
        <v>2575</v>
      </c>
      <c r="C865" t="s">
        <v>23</v>
      </c>
      <c r="D865" t="s">
        <v>33</v>
      </c>
      <c r="E865" t="s">
        <v>29</v>
      </c>
      <c r="F865">
        <v>7</v>
      </c>
      <c r="G865">
        <v>9292.5</v>
      </c>
      <c r="H865">
        <v>737.63864999999987</v>
      </c>
      <c r="K865" t="str">
        <f t="shared" si="39"/>
        <v>2.5%</v>
      </c>
      <c r="L865" t="str">
        <f t="shared" si="40"/>
        <v>Need Improvement</v>
      </c>
      <c r="M865" t="b">
        <f>TRUE()</f>
        <v>1</v>
      </c>
      <c r="N865" t="b">
        <f>FALSE()</f>
        <v>0</v>
      </c>
      <c r="O865" s="18" t="b">
        <f t="shared" si="41"/>
        <v>0</v>
      </c>
    </row>
    <row r="866" spans="1:15" x14ac:dyDescent="0.35">
      <c r="A866">
        <v>41384</v>
      </c>
      <c r="B866">
        <v>2210</v>
      </c>
      <c r="C866" t="s">
        <v>26</v>
      </c>
      <c r="D866" t="s">
        <v>33</v>
      </c>
      <c r="E866" t="s">
        <v>25</v>
      </c>
      <c r="F866">
        <v>9</v>
      </c>
      <c r="G866">
        <v>13702.5</v>
      </c>
      <c r="H866">
        <v>919.98585000000003</v>
      </c>
      <c r="K866" t="str">
        <f t="shared" si="39"/>
        <v>5%</v>
      </c>
      <c r="L866" t="str">
        <f t="shared" si="40"/>
        <v>Good</v>
      </c>
      <c r="M866" t="b">
        <f>TRUE()</f>
        <v>1</v>
      </c>
      <c r="N866" t="b">
        <f>FALSE()</f>
        <v>0</v>
      </c>
      <c r="O866" s="18" t="b">
        <f t="shared" si="41"/>
        <v>0</v>
      </c>
    </row>
    <row r="867" spans="1:15" x14ac:dyDescent="0.35">
      <c r="A867">
        <v>41385</v>
      </c>
      <c r="B867">
        <v>2576</v>
      </c>
      <c r="C867" t="s">
        <v>26</v>
      </c>
      <c r="D867" t="s">
        <v>33</v>
      </c>
      <c r="E867" t="s">
        <v>29</v>
      </c>
      <c r="F867">
        <v>7</v>
      </c>
      <c r="G867">
        <v>6762</v>
      </c>
      <c r="H867">
        <v>1316.8995</v>
      </c>
      <c r="K867" t="str">
        <f t="shared" si="39"/>
        <v>2.5%</v>
      </c>
      <c r="L867" t="str">
        <f t="shared" si="40"/>
        <v>Need Improvement</v>
      </c>
      <c r="M867" t="b">
        <f>TRUE()</f>
        <v>1</v>
      </c>
      <c r="N867" t="b">
        <f>FALSE()</f>
        <v>0</v>
      </c>
      <c r="O867" s="18" t="b">
        <f t="shared" si="41"/>
        <v>0</v>
      </c>
    </row>
    <row r="868" spans="1:15" x14ac:dyDescent="0.35">
      <c r="A868">
        <v>41386</v>
      </c>
      <c r="B868">
        <v>2211</v>
      </c>
      <c r="C868" t="s">
        <v>27</v>
      </c>
      <c r="D868" t="s">
        <v>33</v>
      </c>
      <c r="E868" t="s">
        <v>28</v>
      </c>
      <c r="F868">
        <v>10</v>
      </c>
      <c r="G868">
        <v>5400</v>
      </c>
      <c r="H868">
        <v>2108.7000000000003</v>
      </c>
      <c r="K868" t="str">
        <f t="shared" si="39"/>
        <v>2.5%</v>
      </c>
      <c r="L868" t="str">
        <f t="shared" si="40"/>
        <v>Need Improvement</v>
      </c>
      <c r="M868" t="b">
        <f>TRUE()</f>
        <v>1</v>
      </c>
      <c r="N868" t="b">
        <f>FALSE()</f>
        <v>0</v>
      </c>
      <c r="O868" s="18" t="b">
        <f t="shared" si="41"/>
        <v>0</v>
      </c>
    </row>
    <row r="869" spans="1:15" x14ac:dyDescent="0.35">
      <c r="A869">
        <v>41387</v>
      </c>
      <c r="B869">
        <v>2577</v>
      </c>
      <c r="C869" t="s">
        <v>27</v>
      </c>
      <c r="D869" t="s">
        <v>33</v>
      </c>
      <c r="E869" t="s">
        <v>25</v>
      </c>
      <c r="F869">
        <v>6</v>
      </c>
      <c r="G869">
        <v>9432</v>
      </c>
      <c r="H869">
        <v>3295.5407999999998</v>
      </c>
      <c r="K869" t="str">
        <f t="shared" si="39"/>
        <v>2.5%</v>
      </c>
      <c r="L869" t="str">
        <f t="shared" si="40"/>
        <v>Need Improvement</v>
      </c>
      <c r="M869" t="b">
        <f>TRUE()</f>
        <v>1</v>
      </c>
      <c r="N869" t="b">
        <f>FALSE()</f>
        <v>0</v>
      </c>
      <c r="O869" s="18" t="b">
        <f t="shared" si="41"/>
        <v>0</v>
      </c>
    </row>
    <row r="870" spans="1:15" x14ac:dyDescent="0.35">
      <c r="A870">
        <v>41388</v>
      </c>
      <c r="B870">
        <v>2212</v>
      </c>
      <c r="C870" t="s">
        <v>23</v>
      </c>
      <c r="D870" t="s">
        <v>33</v>
      </c>
      <c r="E870" t="s">
        <v>28</v>
      </c>
      <c r="F870">
        <v>9</v>
      </c>
      <c r="G870">
        <v>2610</v>
      </c>
      <c r="H870">
        <v>3854.4479999999999</v>
      </c>
      <c r="K870" t="str">
        <f t="shared" si="39"/>
        <v>1.5%</v>
      </c>
      <c r="L870" t="str">
        <f t="shared" si="40"/>
        <v>Need Improvement</v>
      </c>
      <c r="M870" t="b">
        <f>TRUE()</f>
        <v>1</v>
      </c>
      <c r="N870" t="b">
        <f>FALSE()</f>
        <v>0</v>
      </c>
      <c r="O870" s="18" t="b">
        <f t="shared" si="41"/>
        <v>0</v>
      </c>
    </row>
    <row r="871" spans="1:15" x14ac:dyDescent="0.35">
      <c r="A871">
        <v>41389</v>
      </c>
      <c r="B871">
        <v>2578</v>
      </c>
      <c r="C871" t="s">
        <v>23</v>
      </c>
      <c r="D871" t="s">
        <v>33</v>
      </c>
      <c r="E871" t="s">
        <v>25</v>
      </c>
      <c r="F871">
        <v>9</v>
      </c>
      <c r="G871">
        <v>5220</v>
      </c>
      <c r="H871">
        <v>1099.0709999999999</v>
      </c>
      <c r="K871" t="str">
        <f t="shared" si="39"/>
        <v>2.5%</v>
      </c>
      <c r="L871" t="str">
        <f t="shared" si="40"/>
        <v>Need Improvement</v>
      </c>
      <c r="M871" t="b">
        <f>TRUE()</f>
        <v>1</v>
      </c>
      <c r="N871" t="b">
        <f>FALSE()</f>
        <v>0</v>
      </c>
      <c r="O871" s="18" t="b">
        <f t="shared" si="41"/>
        <v>0</v>
      </c>
    </row>
    <row r="872" spans="1:15" x14ac:dyDescent="0.35">
      <c r="A872">
        <v>41390</v>
      </c>
      <c r="B872">
        <v>2213</v>
      </c>
      <c r="C872" t="s">
        <v>26</v>
      </c>
      <c r="D872" t="s">
        <v>33</v>
      </c>
      <c r="E872" t="s">
        <v>28</v>
      </c>
      <c r="F872">
        <v>8</v>
      </c>
      <c r="G872">
        <v>8388</v>
      </c>
      <c r="H872">
        <v>1038.4344000000001</v>
      </c>
      <c r="K872" t="str">
        <f t="shared" si="39"/>
        <v>2.5%</v>
      </c>
      <c r="L872" t="str">
        <f t="shared" si="40"/>
        <v>Need Improvement</v>
      </c>
      <c r="M872" t="b">
        <f>TRUE()</f>
        <v>1</v>
      </c>
      <c r="N872" t="b">
        <f>FALSE()</f>
        <v>0</v>
      </c>
      <c r="O872" s="18" t="b">
        <f t="shared" si="41"/>
        <v>0</v>
      </c>
    </row>
    <row r="873" spans="1:15" x14ac:dyDescent="0.35">
      <c r="A873">
        <v>41391</v>
      </c>
      <c r="B873">
        <v>2579</v>
      </c>
      <c r="C873" t="s">
        <v>26</v>
      </c>
      <c r="D873" t="s">
        <v>33</v>
      </c>
      <c r="E873" t="s">
        <v>25</v>
      </c>
      <c r="F873">
        <v>7</v>
      </c>
      <c r="G873">
        <v>11550</v>
      </c>
      <c r="H873">
        <v>1974.5880000000002</v>
      </c>
      <c r="K873" t="str">
        <f t="shared" si="39"/>
        <v>5%</v>
      </c>
      <c r="L873" t="str">
        <f t="shared" si="40"/>
        <v>Good</v>
      </c>
      <c r="M873" t="b">
        <f>TRUE()</f>
        <v>1</v>
      </c>
      <c r="N873" t="b">
        <f>FALSE()</f>
        <v>0</v>
      </c>
      <c r="O873" s="18" t="b">
        <f t="shared" si="41"/>
        <v>0</v>
      </c>
    </row>
    <row r="874" spans="1:15" x14ac:dyDescent="0.35">
      <c r="A874">
        <v>41392</v>
      </c>
      <c r="B874">
        <v>2214</v>
      </c>
      <c r="C874" t="s">
        <v>27</v>
      </c>
      <c r="D874" t="s">
        <v>33</v>
      </c>
      <c r="E874" t="s">
        <v>29</v>
      </c>
      <c r="F874">
        <v>6</v>
      </c>
      <c r="G874">
        <v>5967</v>
      </c>
      <c r="H874">
        <v>3592.1340000000005</v>
      </c>
      <c r="K874" t="str">
        <f t="shared" si="39"/>
        <v>2.5%</v>
      </c>
      <c r="L874" t="str">
        <f t="shared" si="40"/>
        <v>Need Improvement</v>
      </c>
      <c r="M874" t="b">
        <f>TRUE()</f>
        <v>1</v>
      </c>
      <c r="N874" t="b">
        <f>FALSE()</f>
        <v>0</v>
      </c>
      <c r="O874" s="18" t="b">
        <f t="shared" si="41"/>
        <v>0</v>
      </c>
    </row>
    <row r="875" spans="1:15" x14ac:dyDescent="0.35">
      <c r="A875">
        <v>41393</v>
      </c>
      <c r="B875">
        <v>2580</v>
      </c>
      <c r="C875" t="s">
        <v>27</v>
      </c>
      <c r="D875" t="s">
        <v>33</v>
      </c>
      <c r="E875" t="s">
        <v>28</v>
      </c>
      <c r="F875">
        <v>8</v>
      </c>
      <c r="G875">
        <v>7308</v>
      </c>
      <c r="H875">
        <v>2817.2339999999999</v>
      </c>
      <c r="K875" t="str">
        <f t="shared" si="39"/>
        <v>2.5%</v>
      </c>
      <c r="L875" t="str">
        <f t="shared" si="40"/>
        <v>Need Improvement</v>
      </c>
      <c r="M875" t="b">
        <f>TRUE()</f>
        <v>1</v>
      </c>
      <c r="N875" t="b">
        <f>FALSE()</f>
        <v>0</v>
      </c>
      <c r="O875" s="18" t="b">
        <f t="shared" si="41"/>
        <v>0</v>
      </c>
    </row>
    <row r="876" spans="1:15" x14ac:dyDescent="0.35">
      <c r="A876">
        <v>41394</v>
      </c>
      <c r="B876">
        <v>2215</v>
      </c>
      <c r="C876" t="s">
        <v>23</v>
      </c>
      <c r="D876" t="s">
        <v>33</v>
      </c>
      <c r="E876" t="s">
        <v>29</v>
      </c>
      <c r="F876">
        <v>9</v>
      </c>
      <c r="G876">
        <v>5481</v>
      </c>
      <c r="H876">
        <v>1679.9265</v>
      </c>
      <c r="K876" t="str">
        <f t="shared" si="39"/>
        <v>2.5%</v>
      </c>
      <c r="L876" t="str">
        <f t="shared" si="40"/>
        <v>Need Improvement</v>
      </c>
      <c r="M876" t="b">
        <f>TRUE()</f>
        <v>1</v>
      </c>
      <c r="N876" t="b">
        <f>FALSE()</f>
        <v>0</v>
      </c>
      <c r="O876" s="18" t="b">
        <f t="shared" si="41"/>
        <v>0</v>
      </c>
    </row>
    <row r="877" spans="1:15" x14ac:dyDescent="0.35">
      <c r="A877">
        <v>41395</v>
      </c>
      <c r="B877">
        <v>2581</v>
      </c>
      <c r="C877" t="s">
        <v>23</v>
      </c>
      <c r="D877" t="s">
        <v>33</v>
      </c>
      <c r="E877" t="s">
        <v>28</v>
      </c>
      <c r="F877">
        <v>8</v>
      </c>
      <c r="G877">
        <v>3024</v>
      </c>
      <c r="H877">
        <v>1639.3103999999998</v>
      </c>
      <c r="K877" t="str">
        <f t="shared" si="39"/>
        <v>1.5%</v>
      </c>
      <c r="L877" t="str">
        <f t="shared" si="40"/>
        <v>Need Improvement</v>
      </c>
      <c r="M877" t="b">
        <f>TRUE()</f>
        <v>1</v>
      </c>
      <c r="N877" t="b">
        <f>FALSE()</f>
        <v>0</v>
      </c>
      <c r="O877" s="18" t="b">
        <f t="shared" si="41"/>
        <v>0</v>
      </c>
    </row>
    <row r="878" spans="1:15" x14ac:dyDescent="0.35">
      <c r="A878">
        <v>41396</v>
      </c>
      <c r="B878">
        <v>2216</v>
      </c>
      <c r="C878" t="s">
        <v>26</v>
      </c>
      <c r="D878" t="s">
        <v>33</v>
      </c>
      <c r="E878" t="s">
        <v>29</v>
      </c>
      <c r="F878">
        <v>7</v>
      </c>
      <c r="G878">
        <v>4074</v>
      </c>
      <c r="H878">
        <v>3602.2308000000003</v>
      </c>
      <c r="K878" t="str">
        <f t="shared" si="39"/>
        <v>1.5%</v>
      </c>
      <c r="L878" t="str">
        <f t="shared" si="40"/>
        <v>Need Improvement</v>
      </c>
      <c r="M878" t="b">
        <f>TRUE()</f>
        <v>1</v>
      </c>
      <c r="N878" t="b">
        <f>FALSE()</f>
        <v>0</v>
      </c>
      <c r="O878" s="18" t="b">
        <f t="shared" si="41"/>
        <v>0</v>
      </c>
    </row>
    <row r="879" spans="1:15" x14ac:dyDescent="0.35">
      <c r="A879">
        <v>41397</v>
      </c>
      <c r="B879">
        <v>2582</v>
      </c>
      <c r="C879" t="s">
        <v>26</v>
      </c>
      <c r="D879" t="s">
        <v>33</v>
      </c>
      <c r="E879" t="s">
        <v>28</v>
      </c>
      <c r="F879">
        <v>7</v>
      </c>
      <c r="G879">
        <v>7182</v>
      </c>
      <c r="H879">
        <v>3080.5991999999997</v>
      </c>
      <c r="K879" t="str">
        <f t="shared" si="39"/>
        <v>2.5%</v>
      </c>
      <c r="L879" t="str">
        <f t="shared" si="40"/>
        <v>Need Improvement</v>
      </c>
      <c r="M879" t="b">
        <f>TRUE()</f>
        <v>1</v>
      </c>
      <c r="N879" t="b">
        <f>FALSE()</f>
        <v>0</v>
      </c>
      <c r="O879" s="18" t="b">
        <f t="shared" si="41"/>
        <v>0</v>
      </c>
    </row>
    <row r="880" spans="1:15" x14ac:dyDescent="0.35">
      <c r="A880">
        <v>41398</v>
      </c>
      <c r="B880">
        <v>2217</v>
      </c>
      <c r="C880" t="s">
        <v>27</v>
      </c>
      <c r="D880" t="s">
        <v>33</v>
      </c>
      <c r="E880" t="s">
        <v>25</v>
      </c>
      <c r="F880">
        <v>9</v>
      </c>
      <c r="G880">
        <v>12555</v>
      </c>
      <c r="H880">
        <v>2253.3714</v>
      </c>
      <c r="K880" t="str">
        <f t="shared" si="39"/>
        <v>5%</v>
      </c>
      <c r="L880" t="str">
        <f t="shared" si="40"/>
        <v>Good</v>
      </c>
      <c r="M880" t="b">
        <f>TRUE()</f>
        <v>1</v>
      </c>
      <c r="N880" t="b">
        <f>FALSE()</f>
        <v>0</v>
      </c>
      <c r="O880" s="18" t="b">
        <f t="shared" si="41"/>
        <v>0</v>
      </c>
    </row>
    <row r="881" spans="1:15" x14ac:dyDescent="0.35">
      <c r="A881">
        <v>41399</v>
      </c>
      <c r="B881">
        <v>2583</v>
      </c>
      <c r="C881" t="s">
        <v>27</v>
      </c>
      <c r="D881" t="s">
        <v>33</v>
      </c>
      <c r="E881" t="s">
        <v>29</v>
      </c>
      <c r="F881">
        <v>7</v>
      </c>
      <c r="G881">
        <v>5229</v>
      </c>
      <c r="H881">
        <v>1091.8152</v>
      </c>
      <c r="K881" t="str">
        <f t="shared" si="39"/>
        <v>2.5%</v>
      </c>
      <c r="L881" t="str">
        <f t="shared" si="40"/>
        <v>Need Improvement</v>
      </c>
      <c r="M881" t="b">
        <f>TRUE()</f>
        <v>1</v>
      </c>
      <c r="N881" t="b">
        <f>FALSE()</f>
        <v>0</v>
      </c>
      <c r="O881" s="18" t="b">
        <f t="shared" si="41"/>
        <v>0</v>
      </c>
    </row>
    <row r="882" spans="1:15" x14ac:dyDescent="0.35">
      <c r="A882">
        <v>41400</v>
      </c>
      <c r="B882">
        <v>2218</v>
      </c>
      <c r="C882" t="s">
        <v>23</v>
      </c>
      <c r="D882" t="s">
        <v>33</v>
      </c>
      <c r="E882" t="s">
        <v>25</v>
      </c>
      <c r="F882">
        <v>6</v>
      </c>
      <c r="G882">
        <v>8437.5</v>
      </c>
      <c r="H882">
        <v>2847.6562500000005</v>
      </c>
      <c r="K882" t="str">
        <f t="shared" si="39"/>
        <v>2.5%</v>
      </c>
      <c r="L882" t="str">
        <f t="shared" si="40"/>
        <v>Need Improvement</v>
      </c>
      <c r="M882" t="b">
        <f>TRUE()</f>
        <v>1</v>
      </c>
      <c r="N882" t="b">
        <f>FALSE()</f>
        <v>0</v>
      </c>
      <c r="O882" s="18" t="b">
        <f t="shared" si="41"/>
        <v>0</v>
      </c>
    </row>
    <row r="883" spans="1:15" x14ac:dyDescent="0.35">
      <c r="A883">
        <v>41401</v>
      </c>
      <c r="B883">
        <v>2584</v>
      </c>
      <c r="C883" t="s">
        <v>23</v>
      </c>
      <c r="D883" t="s">
        <v>33</v>
      </c>
      <c r="E883" t="s">
        <v>29</v>
      </c>
      <c r="F883">
        <v>8</v>
      </c>
      <c r="G883">
        <v>10260</v>
      </c>
      <c r="H883">
        <v>649.0476000000001</v>
      </c>
      <c r="K883" t="str">
        <f t="shared" si="39"/>
        <v>5%</v>
      </c>
      <c r="L883" t="str">
        <f t="shared" si="40"/>
        <v>Good</v>
      </c>
      <c r="M883" t="b">
        <f>TRUE()</f>
        <v>1</v>
      </c>
      <c r="N883" t="b">
        <f>FALSE()</f>
        <v>0</v>
      </c>
      <c r="O883" s="18" t="b">
        <f t="shared" si="41"/>
        <v>0</v>
      </c>
    </row>
    <row r="884" spans="1:15" x14ac:dyDescent="0.35">
      <c r="A884">
        <v>41767</v>
      </c>
      <c r="B884">
        <v>2219</v>
      </c>
      <c r="C884" t="s">
        <v>26</v>
      </c>
      <c r="D884" t="s">
        <v>33</v>
      </c>
      <c r="E884" t="s">
        <v>25</v>
      </c>
      <c r="F884">
        <v>10</v>
      </c>
      <c r="G884">
        <v>1755</v>
      </c>
      <c r="H884">
        <v>682.69499999999994</v>
      </c>
      <c r="K884" t="str">
        <f t="shared" si="39"/>
        <v>1.5%</v>
      </c>
      <c r="L884" t="str">
        <f t="shared" si="40"/>
        <v>Need Improvement</v>
      </c>
      <c r="M884" t="b">
        <f>TRUE()</f>
        <v>1</v>
      </c>
      <c r="N884" t="b">
        <f>FALSE()</f>
        <v>0</v>
      </c>
      <c r="O884" s="18" t="b">
        <f t="shared" si="41"/>
        <v>0</v>
      </c>
    </row>
    <row r="885" spans="1:15" x14ac:dyDescent="0.35">
      <c r="A885">
        <v>41768</v>
      </c>
      <c r="B885">
        <v>2585</v>
      </c>
      <c r="C885" t="s">
        <v>26</v>
      </c>
      <c r="D885" t="s">
        <v>33</v>
      </c>
      <c r="E885" t="s">
        <v>29</v>
      </c>
      <c r="F885">
        <v>8</v>
      </c>
      <c r="G885">
        <v>2248</v>
      </c>
      <c r="H885">
        <v>2456.8392000000003</v>
      </c>
      <c r="K885" t="str">
        <f t="shared" si="39"/>
        <v>1.5%</v>
      </c>
      <c r="L885" t="str">
        <f t="shared" si="40"/>
        <v>Need Improvement</v>
      </c>
      <c r="M885" t="b">
        <f>TRUE()</f>
        <v>1</v>
      </c>
      <c r="N885" t="b">
        <f>FALSE()</f>
        <v>0</v>
      </c>
      <c r="O885" s="18" t="b">
        <f t="shared" si="41"/>
        <v>0</v>
      </c>
    </row>
    <row r="886" spans="1:15" x14ac:dyDescent="0.35">
      <c r="A886">
        <v>41769</v>
      </c>
      <c r="B886">
        <v>2220</v>
      </c>
      <c r="C886" t="s">
        <v>27</v>
      </c>
      <c r="D886" t="s">
        <v>33</v>
      </c>
      <c r="E886" t="s">
        <v>28</v>
      </c>
      <c r="F886">
        <v>9</v>
      </c>
      <c r="G886">
        <v>2929.5</v>
      </c>
      <c r="H886">
        <v>2312.5473000000002</v>
      </c>
      <c r="K886" t="str">
        <f t="shared" si="39"/>
        <v>1.5%</v>
      </c>
      <c r="L886" t="str">
        <f t="shared" si="40"/>
        <v>Need Improvement</v>
      </c>
      <c r="M886" t="b">
        <f>TRUE()</f>
        <v>1</v>
      </c>
      <c r="N886" t="b">
        <f>FALSE()</f>
        <v>0</v>
      </c>
      <c r="O886" s="18" t="b">
        <f t="shared" si="41"/>
        <v>0</v>
      </c>
    </row>
    <row r="887" spans="1:15" x14ac:dyDescent="0.35">
      <c r="A887">
        <v>41770</v>
      </c>
      <c r="B887">
        <v>2586</v>
      </c>
      <c r="C887" t="s">
        <v>27</v>
      </c>
      <c r="D887" t="s">
        <v>33</v>
      </c>
      <c r="E887" t="s">
        <v>25</v>
      </c>
      <c r="F887">
        <v>10</v>
      </c>
      <c r="G887">
        <v>2910</v>
      </c>
      <c r="H887">
        <v>1042.653</v>
      </c>
      <c r="K887" t="str">
        <f t="shared" si="39"/>
        <v>1.5%</v>
      </c>
      <c r="L887" t="str">
        <f t="shared" si="40"/>
        <v>Need Improvement</v>
      </c>
      <c r="M887" t="b">
        <f>TRUE()</f>
        <v>1</v>
      </c>
      <c r="N887" t="b">
        <f>FALSE()</f>
        <v>0</v>
      </c>
      <c r="O887" s="18" t="b">
        <f t="shared" si="41"/>
        <v>0</v>
      </c>
    </row>
    <row r="888" spans="1:15" x14ac:dyDescent="0.35">
      <c r="A888">
        <v>41771</v>
      </c>
      <c r="B888">
        <v>2221</v>
      </c>
      <c r="C888" t="s">
        <v>23</v>
      </c>
      <c r="D888" t="s">
        <v>33</v>
      </c>
      <c r="E888" t="s">
        <v>28</v>
      </c>
      <c r="F888">
        <v>7</v>
      </c>
      <c r="G888">
        <v>10395</v>
      </c>
      <c r="H888">
        <v>861.9534000000001</v>
      </c>
      <c r="K888" t="str">
        <f t="shared" si="39"/>
        <v>5%</v>
      </c>
      <c r="L888" t="str">
        <f t="shared" si="40"/>
        <v>Good</v>
      </c>
      <c r="M888" t="b">
        <f>TRUE()</f>
        <v>1</v>
      </c>
      <c r="N888" t="b">
        <f>FALSE()</f>
        <v>0</v>
      </c>
      <c r="O888" s="18" t="b">
        <f t="shared" si="41"/>
        <v>0</v>
      </c>
    </row>
    <row r="889" spans="1:15" x14ac:dyDescent="0.35">
      <c r="A889">
        <v>41772</v>
      </c>
      <c r="B889">
        <v>2587</v>
      </c>
      <c r="C889" t="s">
        <v>23</v>
      </c>
      <c r="D889" t="s">
        <v>33</v>
      </c>
      <c r="E889" t="s">
        <v>25</v>
      </c>
      <c r="F889">
        <v>8</v>
      </c>
      <c r="G889">
        <v>10440</v>
      </c>
      <c r="H889">
        <v>2196.1584000000003</v>
      </c>
      <c r="K889" t="str">
        <f t="shared" si="39"/>
        <v>5%</v>
      </c>
      <c r="L889" t="str">
        <f t="shared" si="40"/>
        <v>Good</v>
      </c>
      <c r="M889" t="b">
        <f>TRUE()</f>
        <v>1</v>
      </c>
      <c r="N889" t="b">
        <f>FALSE()</f>
        <v>0</v>
      </c>
      <c r="O889" s="18" t="b">
        <f t="shared" si="41"/>
        <v>0</v>
      </c>
    </row>
    <row r="890" spans="1:15" x14ac:dyDescent="0.35">
      <c r="A890">
        <v>41773</v>
      </c>
      <c r="B890">
        <v>2222</v>
      </c>
      <c r="C890" t="s">
        <v>26</v>
      </c>
      <c r="D890" t="s">
        <v>33</v>
      </c>
      <c r="E890" t="s">
        <v>28</v>
      </c>
      <c r="F890">
        <v>6</v>
      </c>
      <c r="G890">
        <v>4374</v>
      </c>
      <c r="H890">
        <v>2795.8608000000004</v>
      </c>
      <c r="K890" t="str">
        <f t="shared" si="39"/>
        <v>1.5%</v>
      </c>
      <c r="L890" t="str">
        <f t="shared" si="40"/>
        <v>Need Improvement</v>
      </c>
      <c r="M890" t="b">
        <f>TRUE()</f>
        <v>1</v>
      </c>
      <c r="N890" t="b">
        <f>FALSE()</f>
        <v>0</v>
      </c>
      <c r="O890" s="18" t="b">
        <f t="shared" si="41"/>
        <v>0</v>
      </c>
    </row>
    <row r="891" spans="1:15" x14ac:dyDescent="0.35">
      <c r="A891">
        <v>41774</v>
      </c>
      <c r="B891">
        <v>2588</v>
      </c>
      <c r="C891" t="s">
        <v>26</v>
      </c>
      <c r="D891" t="s">
        <v>33</v>
      </c>
      <c r="E891" t="s">
        <v>25</v>
      </c>
      <c r="F891">
        <v>8</v>
      </c>
      <c r="G891">
        <v>2124</v>
      </c>
      <c r="H891">
        <v>2627.1755999999996</v>
      </c>
      <c r="K891" t="str">
        <f t="shared" si="39"/>
        <v>1.5%</v>
      </c>
      <c r="L891" t="str">
        <f t="shared" si="40"/>
        <v>Need Improvement</v>
      </c>
      <c r="M891" t="b">
        <f>TRUE()</f>
        <v>1</v>
      </c>
      <c r="N891" t="b">
        <f>FALSE()</f>
        <v>0</v>
      </c>
      <c r="O891" s="18" t="b">
        <f t="shared" si="41"/>
        <v>0</v>
      </c>
    </row>
    <row r="892" spans="1:15" x14ac:dyDescent="0.35">
      <c r="A892">
        <v>41775</v>
      </c>
      <c r="B892">
        <v>2223</v>
      </c>
      <c r="C892" t="s">
        <v>27</v>
      </c>
      <c r="D892" t="s">
        <v>33</v>
      </c>
      <c r="E892" t="s">
        <v>29</v>
      </c>
      <c r="F892">
        <v>7</v>
      </c>
      <c r="G892">
        <v>4515</v>
      </c>
      <c r="H892">
        <v>3930.3074999999999</v>
      </c>
      <c r="K892" t="str">
        <f t="shared" si="39"/>
        <v>1.5%</v>
      </c>
      <c r="L892" t="str">
        <f t="shared" si="40"/>
        <v>Need Improvement</v>
      </c>
      <c r="M892" t="b">
        <f>TRUE()</f>
        <v>1</v>
      </c>
      <c r="N892" t="b">
        <f>FALSE()</f>
        <v>0</v>
      </c>
      <c r="O892" s="18" t="b">
        <f t="shared" si="41"/>
        <v>0</v>
      </c>
    </row>
    <row r="893" spans="1:15" x14ac:dyDescent="0.35">
      <c r="A893">
        <v>41776</v>
      </c>
      <c r="B893">
        <v>2589</v>
      </c>
      <c r="C893" t="s">
        <v>27</v>
      </c>
      <c r="D893" t="s">
        <v>33</v>
      </c>
      <c r="E893" t="s">
        <v>28</v>
      </c>
      <c r="F893">
        <v>9</v>
      </c>
      <c r="G893">
        <v>1714.5</v>
      </c>
      <c r="H893">
        <v>3669.03</v>
      </c>
      <c r="K893" t="str">
        <f t="shared" si="39"/>
        <v>1.5%</v>
      </c>
      <c r="L893" t="str">
        <f t="shared" si="40"/>
        <v>Need Improvement</v>
      </c>
      <c r="M893" t="b">
        <f>TRUE()</f>
        <v>1</v>
      </c>
      <c r="N893" t="b">
        <f>FALSE()</f>
        <v>0</v>
      </c>
      <c r="O893" s="18" t="b">
        <f t="shared" si="41"/>
        <v>0</v>
      </c>
    </row>
    <row r="894" spans="1:15" x14ac:dyDescent="0.35">
      <c r="A894">
        <v>41777</v>
      </c>
      <c r="B894">
        <v>2224</v>
      </c>
      <c r="C894" t="s">
        <v>23</v>
      </c>
      <c r="D894" t="s">
        <v>33</v>
      </c>
      <c r="E894" t="s">
        <v>29</v>
      </c>
      <c r="F894">
        <v>9</v>
      </c>
      <c r="G894">
        <v>2439</v>
      </c>
      <c r="H894">
        <v>5413.3604999999998</v>
      </c>
      <c r="K894" t="str">
        <f t="shared" si="39"/>
        <v>1.5%</v>
      </c>
      <c r="L894" t="str">
        <f t="shared" si="40"/>
        <v>Good</v>
      </c>
      <c r="M894" t="b">
        <f>TRUE()</f>
        <v>1</v>
      </c>
      <c r="N894" t="b">
        <f>FALSE()</f>
        <v>0</v>
      </c>
      <c r="O894" s="18" t="b">
        <f t="shared" si="41"/>
        <v>0</v>
      </c>
    </row>
    <row r="895" spans="1:15" x14ac:dyDescent="0.35">
      <c r="A895">
        <v>41778</v>
      </c>
      <c r="B895">
        <v>2590</v>
      </c>
      <c r="C895" t="s">
        <v>23</v>
      </c>
      <c r="D895" t="s">
        <v>33</v>
      </c>
      <c r="E895" t="s">
        <v>28</v>
      </c>
      <c r="F895">
        <v>10</v>
      </c>
      <c r="G895">
        <v>5280</v>
      </c>
      <c r="H895">
        <v>1017.9839999999999</v>
      </c>
      <c r="K895" t="str">
        <f t="shared" si="39"/>
        <v>2.5%</v>
      </c>
      <c r="L895" t="str">
        <f t="shared" si="40"/>
        <v>Need Improvement</v>
      </c>
      <c r="M895" t="b">
        <f>TRUE()</f>
        <v>1</v>
      </c>
      <c r="N895" t="b">
        <f>FALSE()</f>
        <v>0</v>
      </c>
      <c r="O895" s="18" t="b">
        <f t="shared" si="41"/>
        <v>0</v>
      </c>
    </row>
    <row r="896" spans="1:15" x14ac:dyDescent="0.35">
      <c r="A896">
        <v>41779</v>
      </c>
      <c r="B896">
        <v>2225</v>
      </c>
      <c r="C896" t="s">
        <v>26</v>
      </c>
      <c r="D896" t="s">
        <v>33</v>
      </c>
      <c r="E896" t="s">
        <v>29</v>
      </c>
      <c r="F896">
        <v>9</v>
      </c>
      <c r="G896">
        <v>11475</v>
      </c>
      <c r="H896">
        <v>1964.0609999999999</v>
      </c>
      <c r="K896" t="str">
        <f t="shared" si="39"/>
        <v>5%</v>
      </c>
      <c r="L896" t="str">
        <f t="shared" si="40"/>
        <v>Good</v>
      </c>
      <c r="M896" t="b">
        <f>TRUE()</f>
        <v>1</v>
      </c>
      <c r="N896" t="b">
        <f>FALSE()</f>
        <v>0</v>
      </c>
      <c r="O896" s="18" t="b">
        <f t="shared" si="41"/>
        <v>0</v>
      </c>
    </row>
    <row r="897" spans="1:15" x14ac:dyDescent="0.35">
      <c r="A897">
        <v>41780</v>
      </c>
      <c r="B897">
        <v>2591</v>
      </c>
      <c r="C897" t="s">
        <v>26</v>
      </c>
      <c r="D897" t="s">
        <v>33</v>
      </c>
      <c r="E897" t="s">
        <v>28</v>
      </c>
      <c r="F897">
        <v>9</v>
      </c>
      <c r="G897">
        <v>2146.5</v>
      </c>
      <c r="H897">
        <v>2891.9794499999998</v>
      </c>
      <c r="K897" t="str">
        <f t="shared" si="39"/>
        <v>1.5%</v>
      </c>
      <c r="L897" t="str">
        <f t="shared" si="40"/>
        <v>Need Improvement</v>
      </c>
      <c r="M897" t="b">
        <f>TRUE()</f>
        <v>1</v>
      </c>
      <c r="N897" t="b">
        <f>FALSE()</f>
        <v>0</v>
      </c>
      <c r="O897" s="18" t="b">
        <f t="shared" si="41"/>
        <v>0</v>
      </c>
    </row>
    <row r="898" spans="1:15" x14ac:dyDescent="0.35">
      <c r="A898">
        <v>41781</v>
      </c>
      <c r="B898">
        <v>2226</v>
      </c>
      <c r="C898" t="s">
        <v>27</v>
      </c>
      <c r="D898" t="s">
        <v>33</v>
      </c>
      <c r="E898" t="s">
        <v>25</v>
      </c>
      <c r="F898">
        <v>7</v>
      </c>
      <c r="G898">
        <v>3507</v>
      </c>
      <c r="H898">
        <v>1728.6003000000001</v>
      </c>
      <c r="K898" t="str">
        <f t="shared" si="39"/>
        <v>1.5%</v>
      </c>
      <c r="L898" t="str">
        <f t="shared" si="40"/>
        <v>Need Improvement</v>
      </c>
      <c r="M898" t="b">
        <f>TRUE()</f>
        <v>1</v>
      </c>
      <c r="N898" t="b">
        <f>FALSE()</f>
        <v>0</v>
      </c>
      <c r="O898" s="18" t="b">
        <f t="shared" si="41"/>
        <v>0</v>
      </c>
    </row>
    <row r="899" spans="1:15" x14ac:dyDescent="0.35">
      <c r="A899">
        <v>41782</v>
      </c>
      <c r="B899">
        <v>2592</v>
      </c>
      <c r="C899" t="s">
        <v>27</v>
      </c>
      <c r="D899" t="s">
        <v>33</v>
      </c>
      <c r="E899" t="s">
        <v>29</v>
      </c>
      <c r="F899">
        <v>7</v>
      </c>
      <c r="G899">
        <v>5386.5</v>
      </c>
      <c r="H899">
        <v>4035.3862500000005</v>
      </c>
      <c r="K899" t="str">
        <f t="shared" ref="K899:K962" si="42">IF(G899&gt;10000,"5%",IF(AND(G899&gt;=5000,G899&lt;10000),"2.5%","1.5%"))</f>
        <v>2.5%</v>
      </c>
      <c r="L899" t="str">
        <f t="shared" ref="L899:L962" si="43">IF(OR(G899&gt;10000,H899&gt;=5000),"Good","Need Improvement")</f>
        <v>Need Improvement</v>
      </c>
      <c r="M899" t="b">
        <f>TRUE()</f>
        <v>1</v>
      </c>
      <c r="N899" t="b">
        <f>FALSE()</f>
        <v>0</v>
      </c>
      <c r="O899" s="18" t="b">
        <f t="shared" ref="O899:O962" si="44">NOT(M899)</f>
        <v>0</v>
      </c>
    </row>
    <row r="900" spans="1:15" x14ac:dyDescent="0.35">
      <c r="A900">
        <v>41783</v>
      </c>
      <c r="B900">
        <v>2227</v>
      </c>
      <c r="C900" t="s">
        <v>23</v>
      </c>
      <c r="D900" t="s">
        <v>33</v>
      </c>
      <c r="E900" t="s">
        <v>25</v>
      </c>
      <c r="F900">
        <v>9</v>
      </c>
      <c r="G900">
        <v>1809</v>
      </c>
      <c r="H900">
        <v>672.22439999999995</v>
      </c>
      <c r="K900" t="str">
        <f t="shared" si="42"/>
        <v>1.5%</v>
      </c>
      <c r="L900" t="str">
        <f t="shared" si="43"/>
        <v>Need Improvement</v>
      </c>
      <c r="M900" t="b">
        <f>TRUE()</f>
        <v>1</v>
      </c>
      <c r="N900" t="b">
        <f>FALSE()</f>
        <v>0</v>
      </c>
      <c r="O900" s="18" t="b">
        <f t="shared" si="44"/>
        <v>0</v>
      </c>
    </row>
    <row r="901" spans="1:15" x14ac:dyDescent="0.35">
      <c r="A901">
        <v>41784</v>
      </c>
      <c r="B901">
        <v>2593</v>
      </c>
      <c r="C901" t="s">
        <v>23</v>
      </c>
      <c r="D901" t="s">
        <v>33</v>
      </c>
      <c r="E901" t="s">
        <v>29</v>
      </c>
      <c r="F901">
        <v>6</v>
      </c>
      <c r="G901">
        <v>9792</v>
      </c>
      <c r="H901">
        <v>2450.6927999999998</v>
      </c>
      <c r="K901" t="str">
        <f t="shared" si="42"/>
        <v>2.5%</v>
      </c>
      <c r="L901" t="str">
        <f t="shared" si="43"/>
        <v>Need Improvement</v>
      </c>
      <c r="M901" t="b">
        <f>TRUE()</f>
        <v>1</v>
      </c>
      <c r="N901" t="b">
        <f>FALSE()</f>
        <v>0</v>
      </c>
      <c r="O901" s="18" t="b">
        <f t="shared" si="44"/>
        <v>0</v>
      </c>
    </row>
    <row r="902" spans="1:15" x14ac:dyDescent="0.35">
      <c r="A902">
        <v>41785</v>
      </c>
      <c r="B902">
        <v>2228</v>
      </c>
      <c r="C902" t="s">
        <v>26</v>
      </c>
      <c r="D902" t="s">
        <v>33</v>
      </c>
      <c r="E902" t="s">
        <v>25</v>
      </c>
      <c r="F902">
        <v>7</v>
      </c>
      <c r="G902">
        <v>5055.75</v>
      </c>
      <c r="H902">
        <v>2312.1630000000005</v>
      </c>
      <c r="K902" t="str">
        <f t="shared" si="42"/>
        <v>2.5%</v>
      </c>
      <c r="L902" t="str">
        <f t="shared" si="43"/>
        <v>Need Improvement</v>
      </c>
      <c r="M902" t="b">
        <f>TRUE()</f>
        <v>1</v>
      </c>
      <c r="N902" t="b">
        <f>FALSE()</f>
        <v>0</v>
      </c>
      <c r="O902" s="18" t="b">
        <f t="shared" si="44"/>
        <v>0</v>
      </c>
    </row>
    <row r="903" spans="1:15" x14ac:dyDescent="0.35">
      <c r="A903">
        <v>41786</v>
      </c>
      <c r="B903">
        <v>2594</v>
      </c>
      <c r="C903" t="s">
        <v>26</v>
      </c>
      <c r="D903" t="s">
        <v>33</v>
      </c>
      <c r="E903" t="s">
        <v>29</v>
      </c>
      <c r="F903">
        <v>6</v>
      </c>
      <c r="G903">
        <v>10044</v>
      </c>
      <c r="H903">
        <v>2625.2505000000001</v>
      </c>
      <c r="K903" t="str">
        <f t="shared" si="42"/>
        <v>5%</v>
      </c>
      <c r="L903" t="str">
        <f t="shared" si="43"/>
        <v>Good</v>
      </c>
      <c r="M903" t="b">
        <f>TRUE()</f>
        <v>1</v>
      </c>
      <c r="N903" t="b">
        <f>FALSE()</f>
        <v>0</v>
      </c>
      <c r="O903" s="18" t="b">
        <f t="shared" si="44"/>
        <v>0</v>
      </c>
    </row>
    <row r="904" spans="1:15" x14ac:dyDescent="0.35">
      <c r="A904">
        <v>41787</v>
      </c>
      <c r="B904">
        <v>2229</v>
      </c>
      <c r="C904" t="s">
        <v>27</v>
      </c>
      <c r="D904" t="s">
        <v>33</v>
      </c>
      <c r="E904" t="s">
        <v>28</v>
      </c>
      <c r="F904">
        <v>9</v>
      </c>
      <c r="G904">
        <v>10260</v>
      </c>
      <c r="H904">
        <v>1579.0140000000001</v>
      </c>
      <c r="K904" t="str">
        <f t="shared" si="42"/>
        <v>5%</v>
      </c>
      <c r="L904" t="str">
        <f t="shared" si="43"/>
        <v>Good</v>
      </c>
      <c r="M904" t="b">
        <f>TRUE()</f>
        <v>1</v>
      </c>
      <c r="N904" t="b">
        <f>FALSE()</f>
        <v>0</v>
      </c>
      <c r="O904" s="18" t="b">
        <f t="shared" si="44"/>
        <v>0</v>
      </c>
    </row>
    <row r="905" spans="1:15" x14ac:dyDescent="0.35">
      <c r="A905">
        <v>41788</v>
      </c>
      <c r="B905">
        <v>2595</v>
      </c>
      <c r="C905" t="s">
        <v>27</v>
      </c>
      <c r="D905" t="s">
        <v>33</v>
      </c>
      <c r="E905" t="s">
        <v>25</v>
      </c>
      <c r="F905">
        <v>6</v>
      </c>
      <c r="G905">
        <v>7236</v>
      </c>
      <c r="H905">
        <v>1536.9264000000001</v>
      </c>
      <c r="K905" t="str">
        <f t="shared" si="42"/>
        <v>2.5%</v>
      </c>
      <c r="L905" t="str">
        <f t="shared" si="43"/>
        <v>Need Improvement</v>
      </c>
      <c r="M905" t="b">
        <f>TRUE()</f>
        <v>1</v>
      </c>
      <c r="N905" t="b">
        <f>FALSE()</f>
        <v>0</v>
      </c>
      <c r="O905" s="18" t="b">
        <f t="shared" si="44"/>
        <v>0</v>
      </c>
    </row>
    <row r="906" spans="1:15" x14ac:dyDescent="0.35">
      <c r="A906">
        <v>41789</v>
      </c>
      <c r="B906">
        <v>2230</v>
      </c>
      <c r="C906" t="s">
        <v>23</v>
      </c>
      <c r="D906" t="s">
        <v>33</v>
      </c>
      <c r="E906" t="s">
        <v>28</v>
      </c>
      <c r="F906">
        <v>9</v>
      </c>
      <c r="G906">
        <v>2943</v>
      </c>
      <c r="H906">
        <v>2674.3041000000003</v>
      </c>
      <c r="K906" t="str">
        <f t="shared" si="42"/>
        <v>1.5%</v>
      </c>
      <c r="L906" t="str">
        <f t="shared" si="43"/>
        <v>Need Improvement</v>
      </c>
      <c r="M906" t="b">
        <f>TRUE()</f>
        <v>1</v>
      </c>
      <c r="N906" t="b">
        <f>FALSE()</f>
        <v>0</v>
      </c>
      <c r="O906" s="18" t="b">
        <f t="shared" si="44"/>
        <v>0</v>
      </c>
    </row>
    <row r="907" spans="1:15" x14ac:dyDescent="0.35">
      <c r="A907">
        <v>41790</v>
      </c>
      <c r="B907">
        <v>2596</v>
      </c>
      <c r="C907" t="s">
        <v>23</v>
      </c>
      <c r="D907" t="s">
        <v>33</v>
      </c>
      <c r="E907" t="s">
        <v>25</v>
      </c>
      <c r="F907">
        <v>9</v>
      </c>
      <c r="G907">
        <v>5643</v>
      </c>
      <c r="H907">
        <v>5301.5985000000001</v>
      </c>
      <c r="K907" t="str">
        <f t="shared" si="42"/>
        <v>2.5%</v>
      </c>
      <c r="L907" t="str">
        <f t="shared" si="43"/>
        <v>Good</v>
      </c>
      <c r="M907" t="b">
        <f>TRUE()</f>
        <v>1</v>
      </c>
      <c r="N907" t="b">
        <f>FALSE()</f>
        <v>0</v>
      </c>
      <c r="O907" s="18" t="b">
        <f t="shared" si="44"/>
        <v>0</v>
      </c>
    </row>
    <row r="908" spans="1:15" x14ac:dyDescent="0.35">
      <c r="A908">
        <v>41791</v>
      </c>
      <c r="B908">
        <v>2231</v>
      </c>
      <c r="C908" t="s">
        <v>26</v>
      </c>
      <c r="D908" t="s">
        <v>33</v>
      </c>
      <c r="E908" t="s">
        <v>28</v>
      </c>
      <c r="F908">
        <v>7</v>
      </c>
      <c r="G908">
        <v>1869</v>
      </c>
      <c r="H908">
        <v>1558.3722</v>
      </c>
      <c r="K908" t="str">
        <f t="shared" si="42"/>
        <v>1.5%</v>
      </c>
      <c r="L908" t="str">
        <f t="shared" si="43"/>
        <v>Need Improvement</v>
      </c>
      <c r="M908" t="b">
        <f>TRUE()</f>
        <v>1</v>
      </c>
      <c r="N908" t="b">
        <f>FALSE()</f>
        <v>0</v>
      </c>
      <c r="O908" s="18" t="b">
        <f t="shared" si="44"/>
        <v>0</v>
      </c>
    </row>
    <row r="909" spans="1:15" x14ac:dyDescent="0.35">
      <c r="A909">
        <v>41792</v>
      </c>
      <c r="B909">
        <v>2597</v>
      </c>
      <c r="C909" t="s">
        <v>26</v>
      </c>
      <c r="D909" t="s">
        <v>33</v>
      </c>
      <c r="E909" t="s">
        <v>25</v>
      </c>
      <c r="F909">
        <v>6</v>
      </c>
      <c r="G909">
        <v>3474</v>
      </c>
      <c r="H909">
        <v>1250.2926</v>
      </c>
      <c r="K909" t="str">
        <f t="shared" si="42"/>
        <v>1.5%</v>
      </c>
      <c r="L909" t="str">
        <f t="shared" si="43"/>
        <v>Need Improvement</v>
      </c>
      <c r="M909" t="b">
        <f>TRUE()</f>
        <v>1</v>
      </c>
      <c r="N909" t="b">
        <f>FALSE()</f>
        <v>0</v>
      </c>
      <c r="O909" s="18" t="b">
        <f t="shared" si="44"/>
        <v>0</v>
      </c>
    </row>
    <row r="910" spans="1:15" x14ac:dyDescent="0.35">
      <c r="A910">
        <v>41793</v>
      </c>
      <c r="B910">
        <v>2232</v>
      </c>
      <c r="C910" t="s">
        <v>27</v>
      </c>
      <c r="D910" t="s">
        <v>33</v>
      </c>
      <c r="E910" t="s">
        <v>29</v>
      </c>
      <c r="F910">
        <v>8</v>
      </c>
      <c r="G910">
        <v>2064</v>
      </c>
      <c r="H910">
        <v>1355.6352000000002</v>
      </c>
      <c r="K910" t="str">
        <f t="shared" si="42"/>
        <v>1.5%</v>
      </c>
      <c r="L910" t="str">
        <f t="shared" si="43"/>
        <v>Need Improvement</v>
      </c>
      <c r="M910" t="b">
        <f>TRUE()</f>
        <v>1</v>
      </c>
      <c r="N910" t="b">
        <f>FALSE()</f>
        <v>0</v>
      </c>
      <c r="O910" s="18" t="b">
        <f t="shared" si="44"/>
        <v>0</v>
      </c>
    </row>
    <row r="911" spans="1:15" x14ac:dyDescent="0.35">
      <c r="A911">
        <v>41794</v>
      </c>
      <c r="B911">
        <v>2598</v>
      </c>
      <c r="C911" t="s">
        <v>27</v>
      </c>
      <c r="D911" t="s">
        <v>33</v>
      </c>
      <c r="E911" t="s">
        <v>28</v>
      </c>
      <c r="F911">
        <v>7</v>
      </c>
      <c r="G911">
        <v>2068.5</v>
      </c>
      <c r="H911">
        <v>907.86464999999998</v>
      </c>
      <c r="K911" t="str">
        <f t="shared" si="42"/>
        <v>1.5%</v>
      </c>
      <c r="L911" t="str">
        <f t="shared" si="43"/>
        <v>Need Improvement</v>
      </c>
      <c r="M911" t="b">
        <f>TRUE()</f>
        <v>1</v>
      </c>
      <c r="N911" t="b">
        <f>FALSE()</f>
        <v>0</v>
      </c>
      <c r="O911" s="18" t="b">
        <f t="shared" si="44"/>
        <v>0</v>
      </c>
    </row>
    <row r="912" spans="1:15" x14ac:dyDescent="0.35">
      <c r="A912">
        <v>41795</v>
      </c>
      <c r="B912">
        <v>2233</v>
      </c>
      <c r="C912" t="s">
        <v>23</v>
      </c>
      <c r="D912" t="s">
        <v>33</v>
      </c>
      <c r="E912" t="s">
        <v>29</v>
      </c>
      <c r="F912">
        <v>8</v>
      </c>
      <c r="G912">
        <v>4356</v>
      </c>
      <c r="H912">
        <v>1457.9531999999999</v>
      </c>
      <c r="K912" t="str">
        <f t="shared" si="42"/>
        <v>1.5%</v>
      </c>
      <c r="L912" t="str">
        <f t="shared" si="43"/>
        <v>Need Improvement</v>
      </c>
      <c r="M912" t="b">
        <f>TRUE()</f>
        <v>1</v>
      </c>
      <c r="N912" t="b">
        <f>FALSE()</f>
        <v>0</v>
      </c>
      <c r="O912" s="18" t="b">
        <f t="shared" si="44"/>
        <v>0</v>
      </c>
    </row>
    <row r="913" spans="1:15" x14ac:dyDescent="0.35">
      <c r="A913">
        <v>41796</v>
      </c>
      <c r="B913">
        <v>2599</v>
      </c>
      <c r="C913" t="s">
        <v>23</v>
      </c>
      <c r="D913" t="s">
        <v>33</v>
      </c>
      <c r="E913" t="s">
        <v>28</v>
      </c>
      <c r="F913">
        <v>6</v>
      </c>
      <c r="G913">
        <v>9900</v>
      </c>
      <c r="H913">
        <v>2066.13</v>
      </c>
      <c r="K913" t="str">
        <f t="shared" si="42"/>
        <v>2.5%</v>
      </c>
      <c r="L913" t="str">
        <f t="shared" si="43"/>
        <v>Need Improvement</v>
      </c>
      <c r="M913" t="b">
        <f>TRUE()</f>
        <v>1</v>
      </c>
      <c r="N913" t="b">
        <f>FALSE()</f>
        <v>0</v>
      </c>
      <c r="O913" s="18" t="b">
        <f t="shared" si="44"/>
        <v>0</v>
      </c>
    </row>
    <row r="914" spans="1:15" x14ac:dyDescent="0.35">
      <c r="A914">
        <v>41797</v>
      </c>
      <c r="B914">
        <v>2234</v>
      </c>
      <c r="C914" t="s">
        <v>26</v>
      </c>
      <c r="D914" t="s">
        <v>33</v>
      </c>
      <c r="E914" t="s">
        <v>29</v>
      </c>
      <c r="F914">
        <v>8</v>
      </c>
      <c r="G914">
        <v>11904</v>
      </c>
      <c r="H914">
        <v>4160.4479999999994</v>
      </c>
      <c r="K914" t="str">
        <f t="shared" si="42"/>
        <v>5%</v>
      </c>
      <c r="L914" t="str">
        <f t="shared" si="43"/>
        <v>Good</v>
      </c>
      <c r="M914" t="b">
        <f>TRUE()</f>
        <v>1</v>
      </c>
      <c r="N914" t="b">
        <f>FALSE()</f>
        <v>0</v>
      </c>
      <c r="O914" s="18" t="b">
        <f t="shared" si="44"/>
        <v>0</v>
      </c>
    </row>
    <row r="915" spans="1:15" x14ac:dyDescent="0.35">
      <c r="A915">
        <v>41798</v>
      </c>
      <c r="B915">
        <v>2600</v>
      </c>
      <c r="C915" t="s">
        <v>26</v>
      </c>
      <c r="D915" t="s">
        <v>33</v>
      </c>
      <c r="E915" t="s">
        <v>28</v>
      </c>
      <c r="F915">
        <v>6</v>
      </c>
      <c r="G915">
        <v>7357.5</v>
      </c>
      <c r="H915">
        <v>914.6844000000001</v>
      </c>
      <c r="K915" t="str">
        <f t="shared" si="42"/>
        <v>2.5%</v>
      </c>
      <c r="L915" t="str">
        <f t="shared" si="43"/>
        <v>Need Improvement</v>
      </c>
      <c r="M915" t="b">
        <f>TRUE()</f>
        <v>1</v>
      </c>
      <c r="N915" t="b">
        <f>FALSE()</f>
        <v>0</v>
      </c>
      <c r="O915" s="18" t="b">
        <f t="shared" si="44"/>
        <v>0</v>
      </c>
    </row>
    <row r="916" spans="1:15" x14ac:dyDescent="0.35">
      <c r="A916">
        <v>41799</v>
      </c>
      <c r="B916">
        <v>2235</v>
      </c>
      <c r="C916" t="s">
        <v>27</v>
      </c>
      <c r="D916" t="s">
        <v>33</v>
      </c>
      <c r="E916" t="s">
        <v>25</v>
      </c>
      <c r="F916">
        <v>8</v>
      </c>
      <c r="G916">
        <v>4728</v>
      </c>
      <c r="H916">
        <v>4931.3040000000001</v>
      </c>
      <c r="K916" t="str">
        <f t="shared" si="42"/>
        <v>1.5%</v>
      </c>
      <c r="L916" t="str">
        <f t="shared" si="43"/>
        <v>Need Improvement</v>
      </c>
      <c r="M916" t="b">
        <f>TRUE()</f>
        <v>1</v>
      </c>
      <c r="N916" t="b">
        <f>FALSE()</f>
        <v>0</v>
      </c>
      <c r="O916" s="18" t="b">
        <f t="shared" si="44"/>
        <v>0</v>
      </c>
    </row>
    <row r="917" spans="1:15" x14ac:dyDescent="0.35">
      <c r="A917">
        <v>41800</v>
      </c>
      <c r="B917">
        <v>2601</v>
      </c>
      <c r="C917" t="s">
        <v>27</v>
      </c>
      <c r="D917" t="s">
        <v>33</v>
      </c>
      <c r="E917" t="s">
        <v>29</v>
      </c>
      <c r="F917">
        <v>9</v>
      </c>
      <c r="G917">
        <v>8869.5</v>
      </c>
      <c r="H917">
        <v>1227.24315</v>
      </c>
      <c r="K917" t="str">
        <f t="shared" si="42"/>
        <v>2.5%</v>
      </c>
      <c r="L917" t="str">
        <f t="shared" si="43"/>
        <v>Need Improvement</v>
      </c>
      <c r="M917" t="b">
        <f>TRUE()</f>
        <v>1</v>
      </c>
      <c r="N917" t="b">
        <f>FALSE()</f>
        <v>0</v>
      </c>
      <c r="O917" s="18" t="b">
        <f t="shared" si="44"/>
        <v>0</v>
      </c>
    </row>
    <row r="918" spans="1:15" x14ac:dyDescent="0.35">
      <c r="A918">
        <v>41801</v>
      </c>
      <c r="B918">
        <v>2236</v>
      </c>
      <c r="C918" t="s">
        <v>23</v>
      </c>
      <c r="D918" t="s">
        <v>33</v>
      </c>
      <c r="E918" t="s">
        <v>25</v>
      </c>
      <c r="F918">
        <v>9</v>
      </c>
      <c r="G918">
        <v>9864</v>
      </c>
      <c r="H918">
        <v>3500.7336</v>
      </c>
      <c r="K918" t="str">
        <f t="shared" si="42"/>
        <v>2.5%</v>
      </c>
      <c r="L918" t="str">
        <f t="shared" si="43"/>
        <v>Need Improvement</v>
      </c>
      <c r="M918" t="b">
        <f>TRUE()</f>
        <v>1</v>
      </c>
      <c r="N918" t="b">
        <f>FALSE()</f>
        <v>0</v>
      </c>
      <c r="O918" s="18" t="b">
        <f t="shared" si="44"/>
        <v>0</v>
      </c>
    </row>
    <row r="919" spans="1:15" x14ac:dyDescent="0.35">
      <c r="A919">
        <v>41802</v>
      </c>
      <c r="B919">
        <v>2602</v>
      </c>
      <c r="C919" t="s">
        <v>23</v>
      </c>
      <c r="D919" t="s">
        <v>33</v>
      </c>
      <c r="E919" t="s">
        <v>29</v>
      </c>
      <c r="F919">
        <v>9</v>
      </c>
      <c r="G919">
        <v>10548</v>
      </c>
      <c r="H919">
        <v>4387.9679999999998</v>
      </c>
      <c r="K919" t="str">
        <f t="shared" si="42"/>
        <v>5%</v>
      </c>
      <c r="L919" t="str">
        <f t="shared" si="43"/>
        <v>Good</v>
      </c>
      <c r="M919" t="b">
        <f>TRUE()</f>
        <v>1</v>
      </c>
      <c r="N919" t="b">
        <f>FALSE()</f>
        <v>0</v>
      </c>
      <c r="O919" s="18" t="b">
        <f t="shared" si="44"/>
        <v>0</v>
      </c>
    </row>
    <row r="920" spans="1:15" x14ac:dyDescent="0.35">
      <c r="A920">
        <v>41803</v>
      </c>
      <c r="B920">
        <v>2237</v>
      </c>
      <c r="C920" t="s">
        <v>26</v>
      </c>
      <c r="D920" t="s">
        <v>33</v>
      </c>
      <c r="E920" t="s">
        <v>25</v>
      </c>
      <c r="F920">
        <v>10</v>
      </c>
      <c r="G920">
        <v>6120</v>
      </c>
      <c r="H920">
        <v>710.12400000000002</v>
      </c>
      <c r="K920" t="str">
        <f t="shared" si="42"/>
        <v>2.5%</v>
      </c>
      <c r="L920" t="str">
        <f t="shared" si="43"/>
        <v>Need Improvement</v>
      </c>
      <c r="M920" t="b">
        <f>TRUE()</f>
        <v>1</v>
      </c>
      <c r="N920" t="b">
        <f>FALSE()</f>
        <v>0</v>
      </c>
      <c r="O920" s="18" t="b">
        <f t="shared" si="44"/>
        <v>0</v>
      </c>
    </row>
    <row r="921" spans="1:15" x14ac:dyDescent="0.35">
      <c r="A921">
        <v>41804</v>
      </c>
      <c r="B921">
        <v>2603</v>
      </c>
      <c r="C921" t="s">
        <v>26</v>
      </c>
      <c r="D921" t="s">
        <v>33</v>
      </c>
      <c r="E921" t="s">
        <v>29</v>
      </c>
      <c r="F921">
        <v>6</v>
      </c>
      <c r="G921">
        <v>1737</v>
      </c>
      <c r="H921">
        <v>1066.1705999999999</v>
      </c>
      <c r="K921" t="str">
        <f t="shared" si="42"/>
        <v>1.5%</v>
      </c>
      <c r="L921" t="str">
        <f t="shared" si="43"/>
        <v>Need Improvement</v>
      </c>
      <c r="M921" t="b">
        <f>TRUE()</f>
        <v>1</v>
      </c>
      <c r="N921" t="b">
        <f>FALSE()</f>
        <v>0</v>
      </c>
      <c r="O921" s="18" t="b">
        <f t="shared" si="44"/>
        <v>0</v>
      </c>
    </row>
    <row r="922" spans="1:15" x14ac:dyDescent="0.35">
      <c r="A922">
        <v>41805</v>
      </c>
      <c r="B922">
        <v>2238</v>
      </c>
      <c r="C922" t="s">
        <v>27</v>
      </c>
      <c r="D922" t="s">
        <v>33</v>
      </c>
      <c r="E922" t="s">
        <v>28</v>
      </c>
      <c r="F922">
        <v>6</v>
      </c>
      <c r="G922">
        <v>2011.5</v>
      </c>
      <c r="H922">
        <v>1330.0038</v>
      </c>
      <c r="K922" t="str">
        <f t="shared" si="42"/>
        <v>1.5%</v>
      </c>
      <c r="L922" t="str">
        <f t="shared" si="43"/>
        <v>Need Improvement</v>
      </c>
      <c r="M922" t="b">
        <f>TRUE()</f>
        <v>1</v>
      </c>
      <c r="N922" t="b">
        <f>FALSE()</f>
        <v>0</v>
      </c>
      <c r="O922" s="18" t="b">
        <f t="shared" si="44"/>
        <v>0</v>
      </c>
    </row>
    <row r="923" spans="1:15" x14ac:dyDescent="0.35">
      <c r="A923">
        <v>41806</v>
      </c>
      <c r="B923">
        <v>2604</v>
      </c>
      <c r="C923" t="s">
        <v>27</v>
      </c>
      <c r="D923" t="s">
        <v>33</v>
      </c>
      <c r="E923" t="s">
        <v>25</v>
      </c>
      <c r="F923">
        <v>6</v>
      </c>
      <c r="G923">
        <v>5022</v>
      </c>
      <c r="H923">
        <v>1730.5812000000001</v>
      </c>
      <c r="K923" t="str">
        <f t="shared" si="42"/>
        <v>2.5%</v>
      </c>
      <c r="L923" t="str">
        <f t="shared" si="43"/>
        <v>Need Improvement</v>
      </c>
      <c r="M923" t="b">
        <f>TRUE()</f>
        <v>1</v>
      </c>
      <c r="N923" t="b">
        <f>FALSE()</f>
        <v>0</v>
      </c>
      <c r="O923" s="18" t="b">
        <f t="shared" si="44"/>
        <v>0</v>
      </c>
    </row>
    <row r="924" spans="1:15" x14ac:dyDescent="0.35">
      <c r="A924">
        <v>41807</v>
      </c>
      <c r="B924">
        <v>2239</v>
      </c>
      <c r="C924" t="s">
        <v>23</v>
      </c>
      <c r="D924" t="s">
        <v>33</v>
      </c>
      <c r="E924" t="s">
        <v>28</v>
      </c>
      <c r="F924">
        <v>9</v>
      </c>
      <c r="G924">
        <v>7627.5</v>
      </c>
      <c r="H924">
        <v>1917.0958500000002</v>
      </c>
      <c r="K924" t="str">
        <f t="shared" si="42"/>
        <v>2.5%</v>
      </c>
      <c r="L924" t="str">
        <f t="shared" si="43"/>
        <v>Need Improvement</v>
      </c>
      <c r="M924" t="b">
        <f>TRUE()</f>
        <v>1</v>
      </c>
      <c r="N924" t="b">
        <f>FALSE()</f>
        <v>0</v>
      </c>
      <c r="O924" s="18" t="b">
        <f t="shared" si="44"/>
        <v>0</v>
      </c>
    </row>
    <row r="925" spans="1:15" x14ac:dyDescent="0.35">
      <c r="A925">
        <v>41808</v>
      </c>
      <c r="B925">
        <v>2605</v>
      </c>
      <c r="C925" t="s">
        <v>23</v>
      </c>
      <c r="D925" t="s">
        <v>33</v>
      </c>
      <c r="E925" t="s">
        <v>25</v>
      </c>
      <c r="F925">
        <v>10</v>
      </c>
      <c r="G925">
        <v>13050</v>
      </c>
      <c r="H925">
        <v>4386.1049999999996</v>
      </c>
      <c r="K925" t="str">
        <f t="shared" si="42"/>
        <v>5%</v>
      </c>
      <c r="L925" t="str">
        <f t="shared" si="43"/>
        <v>Good</v>
      </c>
      <c r="M925" t="b">
        <f>TRUE()</f>
        <v>1</v>
      </c>
      <c r="N925" t="b">
        <f>FALSE()</f>
        <v>0</v>
      </c>
      <c r="O925" s="18" t="b">
        <f t="shared" si="44"/>
        <v>0</v>
      </c>
    </row>
    <row r="926" spans="1:15" x14ac:dyDescent="0.35">
      <c r="A926">
        <v>41809</v>
      </c>
      <c r="B926">
        <v>2240</v>
      </c>
      <c r="C926" t="s">
        <v>26</v>
      </c>
      <c r="D926" t="s">
        <v>33</v>
      </c>
      <c r="E926" t="s">
        <v>28</v>
      </c>
      <c r="F926">
        <v>10</v>
      </c>
      <c r="G926">
        <v>10450</v>
      </c>
      <c r="H926">
        <v>4504.9949999999999</v>
      </c>
      <c r="K926" t="str">
        <f t="shared" si="42"/>
        <v>5%</v>
      </c>
      <c r="L926" t="str">
        <f t="shared" si="43"/>
        <v>Good</v>
      </c>
      <c r="M926" t="b">
        <f>TRUE()</f>
        <v>1</v>
      </c>
      <c r="N926" t="b">
        <f>FALSE()</f>
        <v>0</v>
      </c>
      <c r="O926" s="18" t="b">
        <f t="shared" si="44"/>
        <v>0</v>
      </c>
    </row>
    <row r="927" spans="1:15" x14ac:dyDescent="0.35">
      <c r="A927">
        <v>41810</v>
      </c>
      <c r="B927">
        <v>2606</v>
      </c>
      <c r="C927" t="s">
        <v>26</v>
      </c>
      <c r="D927" t="s">
        <v>33</v>
      </c>
      <c r="E927" t="s">
        <v>25</v>
      </c>
      <c r="F927">
        <v>7</v>
      </c>
      <c r="G927">
        <v>5607</v>
      </c>
      <c r="H927">
        <v>2206.9152000000004</v>
      </c>
      <c r="K927" t="str">
        <f t="shared" si="42"/>
        <v>2.5%</v>
      </c>
      <c r="L927" t="str">
        <f t="shared" si="43"/>
        <v>Need Improvement</v>
      </c>
      <c r="M927" t="b">
        <f>TRUE()</f>
        <v>1</v>
      </c>
      <c r="N927" t="b">
        <f>FALSE()</f>
        <v>0</v>
      </c>
      <c r="O927" s="18" t="b">
        <f t="shared" si="44"/>
        <v>0</v>
      </c>
    </row>
    <row r="928" spans="1:15" x14ac:dyDescent="0.35">
      <c r="A928">
        <v>41811</v>
      </c>
      <c r="B928">
        <v>2241</v>
      </c>
      <c r="C928" t="s">
        <v>27</v>
      </c>
      <c r="D928" t="s">
        <v>33</v>
      </c>
      <c r="E928" t="s">
        <v>29</v>
      </c>
      <c r="F928">
        <v>8</v>
      </c>
      <c r="G928">
        <v>5256</v>
      </c>
      <c r="H928">
        <v>2346.2784000000001</v>
      </c>
      <c r="K928" t="str">
        <f t="shared" si="42"/>
        <v>2.5%</v>
      </c>
      <c r="L928" t="str">
        <f t="shared" si="43"/>
        <v>Need Improvement</v>
      </c>
      <c r="M928" t="b">
        <f>TRUE()</f>
        <v>1</v>
      </c>
      <c r="N928" t="b">
        <f>FALSE()</f>
        <v>0</v>
      </c>
      <c r="O928" s="18" t="b">
        <f t="shared" si="44"/>
        <v>0</v>
      </c>
    </row>
    <row r="929" spans="1:15" x14ac:dyDescent="0.35">
      <c r="A929">
        <v>41812</v>
      </c>
      <c r="B929">
        <v>2607</v>
      </c>
      <c r="C929" t="s">
        <v>27</v>
      </c>
      <c r="D929" t="s">
        <v>33</v>
      </c>
      <c r="E929" t="s">
        <v>28</v>
      </c>
      <c r="F929">
        <v>8</v>
      </c>
      <c r="G929">
        <v>1584</v>
      </c>
      <c r="H929">
        <v>3345.4079999999999</v>
      </c>
      <c r="K929" t="str">
        <f t="shared" si="42"/>
        <v>1.5%</v>
      </c>
      <c r="L929" t="str">
        <f t="shared" si="43"/>
        <v>Need Improvement</v>
      </c>
      <c r="M929" t="b">
        <f>TRUE()</f>
        <v>1</v>
      </c>
      <c r="N929" t="b">
        <f>FALSE()</f>
        <v>0</v>
      </c>
      <c r="O929" s="18" t="b">
        <f t="shared" si="44"/>
        <v>0</v>
      </c>
    </row>
    <row r="930" spans="1:15" x14ac:dyDescent="0.35">
      <c r="A930">
        <v>41813</v>
      </c>
      <c r="B930">
        <v>2242</v>
      </c>
      <c r="C930" t="s">
        <v>23</v>
      </c>
      <c r="D930" t="s">
        <v>33</v>
      </c>
      <c r="E930" t="s">
        <v>29</v>
      </c>
      <c r="F930">
        <v>8</v>
      </c>
      <c r="G930">
        <v>6426</v>
      </c>
      <c r="H930">
        <v>1597.0751999999998</v>
      </c>
      <c r="K930" t="str">
        <f t="shared" si="42"/>
        <v>2.5%</v>
      </c>
      <c r="L930" t="str">
        <f t="shared" si="43"/>
        <v>Need Improvement</v>
      </c>
      <c r="M930" t="b">
        <f>TRUE()</f>
        <v>1</v>
      </c>
      <c r="N930" t="b">
        <f>FALSE()</f>
        <v>0</v>
      </c>
      <c r="O930" s="18" t="b">
        <f t="shared" si="44"/>
        <v>0</v>
      </c>
    </row>
    <row r="931" spans="1:15" x14ac:dyDescent="0.35">
      <c r="A931">
        <v>41814</v>
      </c>
      <c r="B931">
        <v>2608</v>
      </c>
      <c r="C931" t="s">
        <v>23</v>
      </c>
      <c r="D931" t="s">
        <v>33</v>
      </c>
      <c r="E931" t="s">
        <v>28</v>
      </c>
      <c r="F931">
        <v>7</v>
      </c>
      <c r="G931">
        <v>5544</v>
      </c>
      <c r="H931">
        <v>872.34840000000008</v>
      </c>
      <c r="K931" t="str">
        <f t="shared" si="42"/>
        <v>2.5%</v>
      </c>
      <c r="L931" t="str">
        <f t="shared" si="43"/>
        <v>Need Improvement</v>
      </c>
      <c r="M931" t="b">
        <f>TRUE()</f>
        <v>1</v>
      </c>
      <c r="N931" t="b">
        <f>FALSE()</f>
        <v>0</v>
      </c>
      <c r="O931" s="18" t="b">
        <f t="shared" si="44"/>
        <v>0</v>
      </c>
    </row>
    <row r="932" spans="1:15" x14ac:dyDescent="0.35">
      <c r="A932">
        <v>41815</v>
      </c>
      <c r="B932">
        <v>2243</v>
      </c>
      <c r="C932" t="s">
        <v>26</v>
      </c>
      <c r="D932" t="s">
        <v>33</v>
      </c>
      <c r="E932" t="s">
        <v>29</v>
      </c>
      <c r="F932">
        <v>8</v>
      </c>
      <c r="G932">
        <v>9312</v>
      </c>
      <c r="H932">
        <v>1458.7248000000002</v>
      </c>
      <c r="K932" t="str">
        <f t="shared" si="42"/>
        <v>2.5%</v>
      </c>
      <c r="L932" t="str">
        <f t="shared" si="43"/>
        <v>Need Improvement</v>
      </c>
      <c r="M932" t="b">
        <f>TRUE()</f>
        <v>1</v>
      </c>
      <c r="N932" t="b">
        <f>FALSE()</f>
        <v>0</v>
      </c>
      <c r="O932" s="18" t="b">
        <f t="shared" si="44"/>
        <v>0</v>
      </c>
    </row>
    <row r="933" spans="1:15" x14ac:dyDescent="0.35">
      <c r="A933">
        <v>41816</v>
      </c>
      <c r="B933">
        <v>2609</v>
      </c>
      <c r="C933" t="s">
        <v>26</v>
      </c>
      <c r="D933" t="s">
        <v>33</v>
      </c>
      <c r="E933" t="s">
        <v>28</v>
      </c>
      <c r="F933">
        <v>6</v>
      </c>
      <c r="G933">
        <v>6912</v>
      </c>
      <c r="H933">
        <v>2849.1264000000001</v>
      </c>
      <c r="K933" t="str">
        <f t="shared" si="42"/>
        <v>2.5%</v>
      </c>
      <c r="L933" t="str">
        <f t="shared" si="43"/>
        <v>Need Improvement</v>
      </c>
      <c r="M933" t="b">
        <f>TRUE()</f>
        <v>1</v>
      </c>
      <c r="N933" t="b">
        <f>FALSE()</f>
        <v>0</v>
      </c>
      <c r="O933" s="18" t="b">
        <f t="shared" si="44"/>
        <v>0</v>
      </c>
    </row>
    <row r="934" spans="1:15" x14ac:dyDescent="0.35">
      <c r="A934">
        <v>41817</v>
      </c>
      <c r="B934">
        <v>2244</v>
      </c>
      <c r="C934" t="s">
        <v>27</v>
      </c>
      <c r="D934" t="s">
        <v>33</v>
      </c>
      <c r="E934" t="s">
        <v>25</v>
      </c>
      <c r="F934">
        <v>6</v>
      </c>
      <c r="G934">
        <v>8676</v>
      </c>
      <c r="H934">
        <v>4146.0434999999998</v>
      </c>
      <c r="K934" t="str">
        <f t="shared" si="42"/>
        <v>2.5%</v>
      </c>
      <c r="L934" t="str">
        <f t="shared" si="43"/>
        <v>Need Improvement</v>
      </c>
      <c r="M934" t="b">
        <f>TRUE()</f>
        <v>1</v>
      </c>
      <c r="N934" t="b">
        <f>FALSE()</f>
        <v>0</v>
      </c>
      <c r="O934" s="18" t="b">
        <f t="shared" si="44"/>
        <v>0</v>
      </c>
    </row>
    <row r="935" spans="1:15" x14ac:dyDescent="0.35">
      <c r="A935">
        <v>41818</v>
      </c>
      <c r="B935">
        <v>2610</v>
      </c>
      <c r="C935" t="s">
        <v>27</v>
      </c>
      <c r="D935" t="s">
        <v>33</v>
      </c>
      <c r="E935" t="s">
        <v>29</v>
      </c>
      <c r="F935">
        <v>10</v>
      </c>
      <c r="G935">
        <v>10020</v>
      </c>
      <c r="H935">
        <v>919.58550000000002</v>
      </c>
      <c r="K935" t="str">
        <f t="shared" si="42"/>
        <v>5%</v>
      </c>
      <c r="L935" t="str">
        <f t="shared" si="43"/>
        <v>Good</v>
      </c>
      <c r="M935" t="b">
        <f>TRUE()</f>
        <v>1</v>
      </c>
      <c r="N935" t="b">
        <f>FALSE()</f>
        <v>0</v>
      </c>
      <c r="O935" s="18" t="b">
        <f t="shared" si="44"/>
        <v>0</v>
      </c>
    </row>
    <row r="936" spans="1:15" x14ac:dyDescent="0.35">
      <c r="A936">
        <v>41819</v>
      </c>
      <c r="B936">
        <v>2245</v>
      </c>
      <c r="C936" t="s">
        <v>23</v>
      </c>
      <c r="D936" t="s">
        <v>33</v>
      </c>
      <c r="E936" t="s">
        <v>25</v>
      </c>
      <c r="F936">
        <v>10</v>
      </c>
      <c r="G936">
        <v>9360</v>
      </c>
      <c r="H936">
        <v>2694.2759999999998</v>
      </c>
      <c r="K936" t="str">
        <f t="shared" si="42"/>
        <v>2.5%</v>
      </c>
      <c r="L936" t="str">
        <f t="shared" si="43"/>
        <v>Need Improvement</v>
      </c>
      <c r="M936" t="b">
        <f>TRUE()</f>
        <v>1</v>
      </c>
      <c r="N936" t="b">
        <f>FALSE()</f>
        <v>0</v>
      </c>
      <c r="O936" s="18" t="b">
        <f t="shared" si="44"/>
        <v>0</v>
      </c>
    </row>
    <row r="937" spans="1:15" x14ac:dyDescent="0.35">
      <c r="A937">
        <v>41820</v>
      </c>
      <c r="B937">
        <v>2611</v>
      </c>
      <c r="C937" t="s">
        <v>23</v>
      </c>
      <c r="D937" t="s">
        <v>33</v>
      </c>
      <c r="E937" t="s">
        <v>29</v>
      </c>
      <c r="F937">
        <v>6</v>
      </c>
      <c r="G937">
        <v>4284</v>
      </c>
      <c r="H937">
        <v>3193.2936</v>
      </c>
      <c r="K937" t="str">
        <f t="shared" si="42"/>
        <v>1.5%</v>
      </c>
      <c r="L937" t="str">
        <f t="shared" si="43"/>
        <v>Need Improvement</v>
      </c>
      <c r="M937" t="b">
        <f>TRUE()</f>
        <v>1</v>
      </c>
      <c r="N937" t="b">
        <f>FALSE()</f>
        <v>0</v>
      </c>
      <c r="O937" s="18" t="b">
        <f t="shared" si="44"/>
        <v>0</v>
      </c>
    </row>
    <row r="938" spans="1:15" x14ac:dyDescent="0.35">
      <c r="A938">
        <v>41821</v>
      </c>
      <c r="B938">
        <v>2246</v>
      </c>
      <c r="C938" t="s">
        <v>26</v>
      </c>
      <c r="D938" t="s">
        <v>33</v>
      </c>
      <c r="E938" t="s">
        <v>25</v>
      </c>
      <c r="F938">
        <v>6</v>
      </c>
      <c r="G938">
        <v>7290</v>
      </c>
      <c r="H938">
        <v>645.01920000000007</v>
      </c>
      <c r="K938" t="str">
        <f t="shared" si="42"/>
        <v>2.5%</v>
      </c>
      <c r="L938" t="str">
        <f t="shared" si="43"/>
        <v>Need Improvement</v>
      </c>
      <c r="M938" t="b">
        <f>TRUE()</f>
        <v>1</v>
      </c>
      <c r="N938" t="b">
        <f>FALSE()</f>
        <v>0</v>
      </c>
      <c r="O938" s="18" t="b">
        <f t="shared" si="44"/>
        <v>0</v>
      </c>
    </row>
    <row r="939" spans="1:15" x14ac:dyDescent="0.35">
      <c r="A939">
        <v>41822</v>
      </c>
      <c r="B939">
        <v>2612</v>
      </c>
      <c r="C939" t="s">
        <v>26</v>
      </c>
      <c r="D939" t="s">
        <v>33</v>
      </c>
      <c r="E939" t="s">
        <v>29</v>
      </c>
      <c r="F939">
        <v>9</v>
      </c>
      <c r="G939">
        <v>4171.5</v>
      </c>
      <c r="H939">
        <v>4196.5289999999995</v>
      </c>
      <c r="K939" t="str">
        <f t="shared" si="42"/>
        <v>1.5%</v>
      </c>
      <c r="L939" t="str">
        <f t="shared" si="43"/>
        <v>Need Improvement</v>
      </c>
      <c r="M939" t="b">
        <f>TRUE()</f>
        <v>1</v>
      </c>
      <c r="N939" t="b">
        <f>FALSE()</f>
        <v>0</v>
      </c>
      <c r="O939" s="18" t="b">
        <f t="shared" si="44"/>
        <v>0</v>
      </c>
    </row>
    <row r="940" spans="1:15" x14ac:dyDescent="0.35">
      <c r="A940">
        <v>41823</v>
      </c>
      <c r="B940">
        <v>2247</v>
      </c>
      <c r="C940" t="s">
        <v>27</v>
      </c>
      <c r="D940" t="s">
        <v>33</v>
      </c>
      <c r="E940" t="s">
        <v>28</v>
      </c>
      <c r="F940">
        <v>9</v>
      </c>
      <c r="G940">
        <v>9432</v>
      </c>
      <c r="H940">
        <v>3880.3247999999999</v>
      </c>
      <c r="K940" t="str">
        <f t="shared" si="42"/>
        <v>2.5%</v>
      </c>
      <c r="L940" t="str">
        <f t="shared" si="43"/>
        <v>Need Improvement</v>
      </c>
      <c r="M940" t="b">
        <f>TRUE()</f>
        <v>1</v>
      </c>
      <c r="N940" t="b">
        <f>FALSE()</f>
        <v>0</v>
      </c>
      <c r="O940" s="18" t="b">
        <f t="shared" si="44"/>
        <v>0</v>
      </c>
    </row>
    <row r="941" spans="1:15" x14ac:dyDescent="0.35">
      <c r="A941">
        <v>41824</v>
      </c>
      <c r="B941">
        <v>2613</v>
      </c>
      <c r="C941" t="s">
        <v>27</v>
      </c>
      <c r="D941" t="s">
        <v>33</v>
      </c>
      <c r="E941" t="s">
        <v>25</v>
      </c>
      <c r="F941">
        <v>9</v>
      </c>
      <c r="G941">
        <v>2207.25</v>
      </c>
      <c r="H941">
        <v>1667.7981000000002</v>
      </c>
      <c r="K941" t="str">
        <f t="shared" si="42"/>
        <v>1.5%</v>
      </c>
      <c r="L941" t="str">
        <f t="shared" si="43"/>
        <v>Need Improvement</v>
      </c>
      <c r="M941" t="b">
        <f>TRUE()</f>
        <v>1</v>
      </c>
      <c r="N941" t="b">
        <f>FALSE()</f>
        <v>0</v>
      </c>
      <c r="O941" s="18" t="b">
        <f t="shared" si="44"/>
        <v>0</v>
      </c>
    </row>
    <row r="942" spans="1:15" x14ac:dyDescent="0.35">
      <c r="A942">
        <v>41825</v>
      </c>
      <c r="B942">
        <v>2248</v>
      </c>
      <c r="C942" t="s">
        <v>23</v>
      </c>
      <c r="D942" t="s">
        <v>33</v>
      </c>
      <c r="E942" t="s">
        <v>28</v>
      </c>
      <c r="F942">
        <v>8</v>
      </c>
      <c r="G942">
        <v>2144</v>
      </c>
      <c r="H942">
        <v>868.10559999999998</v>
      </c>
      <c r="K942" t="str">
        <f t="shared" si="42"/>
        <v>1.5%</v>
      </c>
      <c r="L942" t="str">
        <f t="shared" si="43"/>
        <v>Need Improvement</v>
      </c>
      <c r="M942" t="b">
        <f>TRUE()</f>
        <v>1</v>
      </c>
      <c r="N942" t="b">
        <f>FALSE()</f>
        <v>0</v>
      </c>
      <c r="O942" s="18" t="b">
        <f t="shared" si="44"/>
        <v>0</v>
      </c>
    </row>
    <row r="943" spans="1:15" x14ac:dyDescent="0.35">
      <c r="A943">
        <v>41826</v>
      </c>
      <c r="B943">
        <v>2614</v>
      </c>
      <c r="C943" t="s">
        <v>23</v>
      </c>
      <c r="D943" t="s">
        <v>33</v>
      </c>
      <c r="E943" t="s">
        <v>25</v>
      </c>
      <c r="F943">
        <v>6</v>
      </c>
      <c r="G943">
        <v>5157</v>
      </c>
      <c r="H943">
        <v>2928.3165000000004</v>
      </c>
      <c r="K943" t="str">
        <f t="shared" si="42"/>
        <v>2.5%</v>
      </c>
      <c r="L943" t="str">
        <f t="shared" si="43"/>
        <v>Need Improvement</v>
      </c>
      <c r="M943" t="b">
        <f>TRUE()</f>
        <v>1</v>
      </c>
      <c r="N943" t="b">
        <f>FALSE()</f>
        <v>0</v>
      </c>
      <c r="O943" s="18" t="b">
        <f t="shared" si="44"/>
        <v>0</v>
      </c>
    </row>
    <row r="944" spans="1:15" x14ac:dyDescent="0.35">
      <c r="A944">
        <v>41827</v>
      </c>
      <c r="B944">
        <v>2249</v>
      </c>
      <c r="C944" t="s">
        <v>26</v>
      </c>
      <c r="D944" t="s">
        <v>33</v>
      </c>
      <c r="E944" t="s">
        <v>28</v>
      </c>
      <c r="F944">
        <v>9</v>
      </c>
      <c r="G944">
        <v>11178</v>
      </c>
      <c r="H944">
        <v>3189.0834000000004</v>
      </c>
      <c r="K944" t="str">
        <f t="shared" si="42"/>
        <v>5%</v>
      </c>
      <c r="L944" t="str">
        <f t="shared" si="43"/>
        <v>Good</v>
      </c>
      <c r="M944" t="b">
        <f>TRUE()</f>
        <v>1</v>
      </c>
      <c r="N944" t="b">
        <f>FALSE()</f>
        <v>0</v>
      </c>
      <c r="O944" s="18" t="b">
        <f t="shared" si="44"/>
        <v>0</v>
      </c>
    </row>
    <row r="945" spans="1:15" x14ac:dyDescent="0.35">
      <c r="A945">
        <v>41828</v>
      </c>
      <c r="B945">
        <v>2615</v>
      </c>
      <c r="C945" t="s">
        <v>26</v>
      </c>
      <c r="D945" t="s">
        <v>33</v>
      </c>
      <c r="E945" t="s">
        <v>25</v>
      </c>
      <c r="F945">
        <v>8</v>
      </c>
      <c r="G945">
        <v>5568</v>
      </c>
      <c r="H945">
        <v>4292.9279999999999</v>
      </c>
      <c r="K945" t="str">
        <f t="shared" si="42"/>
        <v>2.5%</v>
      </c>
      <c r="L945" t="str">
        <f t="shared" si="43"/>
        <v>Need Improvement</v>
      </c>
      <c r="M945" t="b">
        <f>TRUE()</f>
        <v>1</v>
      </c>
      <c r="N945" t="b">
        <f>FALSE()</f>
        <v>0</v>
      </c>
      <c r="O945" s="18" t="b">
        <f t="shared" si="44"/>
        <v>0</v>
      </c>
    </row>
    <row r="946" spans="1:15" x14ac:dyDescent="0.35">
      <c r="A946">
        <v>41829</v>
      </c>
      <c r="B946">
        <v>2250</v>
      </c>
      <c r="C946" t="s">
        <v>27</v>
      </c>
      <c r="D946" t="s">
        <v>33</v>
      </c>
      <c r="E946" t="s">
        <v>29</v>
      </c>
      <c r="F946">
        <v>7</v>
      </c>
      <c r="G946">
        <v>9324</v>
      </c>
      <c r="H946">
        <v>834.73109999999997</v>
      </c>
      <c r="K946" t="str">
        <f t="shared" si="42"/>
        <v>2.5%</v>
      </c>
      <c r="L946" t="str">
        <f t="shared" si="43"/>
        <v>Need Improvement</v>
      </c>
      <c r="M946" t="b">
        <f>TRUE()</f>
        <v>1</v>
      </c>
      <c r="N946" t="b">
        <f>FALSE()</f>
        <v>0</v>
      </c>
      <c r="O946" s="18" t="b">
        <f t="shared" si="44"/>
        <v>0</v>
      </c>
    </row>
    <row r="947" spans="1:15" x14ac:dyDescent="0.35">
      <c r="A947">
        <v>40909</v>
      </c>
      <c r="B947">
        <v>2461</v>
      </c>
      <c r="C947" t="s">
        <v>23</v>
      </c>
      <c r="D947" t="s">
        <v>34</v>
      </c>
      <c r="E947" t="s">
        <v>25</v>
      </c>
      <c r="F947">
        <v>10</v>
      </c>
      <c r="G947">
        <v>8370</v>
      </c>
      <c r="H947">
        <v>3260.9519999999998</v>
      </c>
      <c r="K947" t="str">
        <f t="shared" si="42"/>
        <v>2.5%</v>
      </c>
      <c r="L947" t="str">
        <f t="shared" si="43"/>
        <v>Need Improvement</v>
      </c>
      <c r="M947" t="b">
        <f>TRUE()</f>
        <v>1</v>
      </c>
      <c r="N947" t="b">
        <f>FALSE()</f>
        <v>0</v>
      </c>
      <c r="O947" s="18" t="b">
        <f t="shared" si="44"/>
        <v>0</v>
      </c>
    </row>
    <row r="948" spans="1:15" x14ac:dyDescent="0.35">
      <c r="A948">
        <v>40910</v>
      </c>
      <c r="B948">
        <v>2826</v>
      </c>
      <c r="C948" t="s">
        <v>27</v>
      </c>
      <c r="D948" t="s">
        <v>34</v>
      </c>
      <c r="E948" t="s">
        <v>29</v>
      </c>
      <c r="F948">
        <v>6</v>
      </c>
      <c r="G948">
        <v>10080</v>
      </c>
      <c r="H948">
        <v>2938.5719999999997</v>
      </c>
      <c r="K948" t="str">
        <f t="shared" si="42"/>
        <v>5%</v>
      </c>
      <c r="L948" t="str">
        <f t="shared" si="43"/>
        <v>Good</v>
      </c>
      <c r="M948" t="b">
        <f>TRUE()</f>
        <v>1</v>
      </c>
      <c r="N948" t="b">
        <f>FALSE()</f>
        <v>0</v>
      </c>
      <c r="O948" s="18" t="b">
        <f t="shared" si="44"/>
        <v>0</v>
      </c>
    </row>
    <row r="949" spans="1:15" x14ac:dyDescent="0.35">
      <c r="A949">
        <v>40911</v>
      </c>
      <c r="B949">
        <v>2462</v>
      </c>
      <c r="C949" t="s">
        <v>26</v>
      </c>
      <c r="D949" t="s">
        <v>34</v>
      </c>
      <c r="E949" t="s">
        <v>25</v>
      </c>
      <c r="F949">
        <v>6</v>
      </c>
      <c r="G949">
        <v>7560</v>
      </c>
      <c r="H949">
        <v>2281.6080000000002</v>
      </c>
      <c r="K949" t="str">
        <f t="shared" si="42"/>
        <v>2.5%</v>
      </c>
      <c r="L949" t="str">
        <f t="shared" si="43"/>
        <v>Need Improvement</v>
      </c>
      <c r="M949" t="b">
        <f>TRUE()</f>
        <v>1</v>
      </c>
      <c r="N949" t="b">
        <f>FALSE()</f>
        <v>0</v>
      </c>
      <c r="O949" s="18" t="b">
        <f t="shared" si="44"/>
        <v>0</v>
      </c>
    </row>
    <row r="950" spans="1:15" x14ac:dyDescent="0.35">
      <c r="A950">
        <v>40913</v>
      </c>
      <c r="B950">
        <v>2827</v>
      </c>
      <c r="C950" t="s">
        <v>23</v>
      </c>
      <c r="D950" t="s">
        <v>34</v>
      </c>
      <c r="E950" t="s">
        <v>29</v>
      </c>
      <c r="F950">
        <v>8</v>
      </c>
      <c r="G950">
        <v>7248</v>
      </c>
      <c r="H950">
        <v>1923.2568000000001</v>
      </c>
      <c r="K950" t="str">
        <f t="shared" si="42"/>
        <v>2.5%</v>
      </c>
      <c r="L950" t="str">
        <f t="shared" si="43"/>
        <v>Need Improvement</v>
      </c>
      <c r="M950" t="b">
        <f>TRUE()</f>
        <v>1</v>
      </c>
      <c r="N950" t="b">
        <f>FALSE()</f>
        <v>0</v>
      </c>
      <c r="O950" s="18" t="b">
        <f t="shared" si="44"/>
        <v>0</v>
      </c>
    </row>
    <row r="951" spans="1:15" x14ac:dyDescent="0.35">
      <c r="A951">
        <v>40914</v>
      </c>
      <c r="B951">
        <v>2463</v>
      </c>
      <c r="C951" t="s">
        <v>27</v>
      </c>
      <c r="D951" t="s">
        <v>34</v>
      </c>
      <c r="E951" t="s">
        <v>28</v>
      </c>
      <c r="F951">
        <v>10</v>
      </c>
      <c r="G951">
        <v>14025</v>
      </c>
      <c r="H951">
        <v>1848.4950000000003</v>
      </c>
      <c r="K951" t="str">
        <f t="shared" si="42"/>
        <v>5%</v>
      </c>
      <c r="L951" t="str">
        <f t="shared" si="43"/>
        <v>Good</v>
      </c>
      <c r="M951" t="b">
        <f>TRUE()</f>
        <v>1</v>
      </c>
      <c r="N951" t="b">
        <f>FALSE()</f>
        <v>0</v>
      </c>
      <c r="O951" s="18" t="b">
        <f t="shared" si="44"/>
        <v>0</v>
      </c>
    </row>
    <row r="952" spans="1:15" x14ac:dyDescent="0.35">
      <c r="A952">
        <v>40915</v>
      </c>
      <c r="B952">
        <v>2828</v>
      </c>
      <c r="C952" t="s">
        <v>26</v>
      </c>
      <c r="D952" t="s">
        <v>34</v>
      </c>
      <c r="E952" t="s">
        <v>29</v>
      </c>
      <c r="F952">
        <v>8</v>
      </c>
      <c r="G952">
        <v>2256</v>
      </c>
      <c r="H952">
        <v>1967.232</v>
      </c>
      <c r="K952" t="str">
        <f t="shared" si="42"/>
        <v>1.5%</v>
      </c>
      <c r="L952" t="str">
        <f t="shared" si="43"/>
        <v>Need Improvement</v>
      </c>
      <c r="M952" t="b">
        <f>TRUE()</f>
        <v>1</v>
      </c>
      <c r="N952" t="b">
        <f>FALSE()</f>
        <v>0</v>
      </c>
      <c r="O952" s="18" t="b">
        <f t="shared" si="44"/>
        <v>0</v>
      </c>
    </row>
    <row r="953" spans="1:15" x14ac:dyDescent="0.35">
      <c r="A953">
        <v>40916</v>
      </c>
      <c r="B953">
        <v>2464</v>
      </c>
      <c r="C953" t="s">
        <v>23</v>
      </c>
      <c r="D953" t="s">
        <v>34</v>
      </c>
      <c r="E953" t="s">
        <v>28</v>
      </c>
      <c r="F953">
        <v>6</v>
      </c>
      <c r="G953">
        <v>11002.5</v>
      </c>
      <c r="H953">
        <v>4562.73675</v>
      </c>
      <c r="K953" t="str">
        <f t="shared" si="42"/>
        <v>5%</v>
      </c>
      <c r="L953" t="str">
        <f t="shared" si="43"/>
        <v>Good</v>
      </c>
      <c r="M953" t="b">
        <f>TRUE()</f>
        <v>1</v>
      </c>
      <c r="N953" t="b">
        <f>FALSE()</f>
        <v>0</v>
      </c>
      <c r="O953" s="18" t="b">
        <f t="shared" si="44"/>
        <v>0</v>
      </c>
    </row>
    <row r="954" spans="1:15" x14ac:dyDescent="0.35">
      <c r="A954">
        <v>40917</v>
      </c>
      <c r="B954">
        <v>2829</v>
      </c>
      <c r="C954" t="s">
        <v>27</v>
      </c>
      <c r="D954" t="s">
        <v>34</v>
      </c>
      <c r="E954" t="s">
        <v>25</v>
      </c>
      <c r="F954">
        <v>10</v>
      </c>
      <c r="G954">
        <v>10300</v>
      </c>
      <c r="H954">
        <v>2440.482</v>
      </c>
      <c r="K954" t="str">
        <f t="shared" si="42"/>
        <v>5%</v>
      </c>
      <c r="L954" t="str">
        <f t="shared" si="43"/>
        <v>Good</v>
      </c>
      <c r="M954" t="b">
        <f>TRUE()</f>
        <v>1</v>
      </c>
      <c r="N954" t="b">
        <f>FALSE()</f>
        <v>0</v>
      </c>
      <c r="O954" s="18" t="b">
        <f t="shared" si="44"/>
        <v>0</v>
      </c>
    </row>
    <row r="955" spans="1:15" x14ac:dyDescent="0.35">
      <c r="A955">
        <v>40918</v>
      </c>
      <c r="B955">
        <v>2465</v>
      </c>
      <c r="C955" t="s">
        <v>26</v>
      </c>
      <c r="D955" t="s">
        <v>34</v>
      </c>
      <c r="E955" t="s">
        <v>28</v>
      </c>
      <c r="F955">
        <v>8</v>
      </c>
      <c r="G955">
        <v>5832</v>
      </c>
      <c r="H955">
        <v>1251.2556</v>
      </c>
      <c r="K955" t="str">
        <f t="shared" si="42"/>
        <v>2.5%</v>
      </c>
      <c r="L955" t="str">
        <f t="shared" si="43"/>
        <v>Need Improvement</v>
      </c>
      <c r="M955" t="b">
        <f>TRUE()</f>
        <v>1</v>
      </c>
      <c r="N955" t="b">
        <f>FALSE()</f>
        <v>0</v>
      </c>
      <c r="O955" s="18" t="b">
        <f t="shared" si="44"/>
        <v>0</v>
      </c>
    </row>
    <row r="956" spans="1:15" x14ac:dyDescent="0.35">
      <c r="A956">
        <v>40919</v>
      </c>
      <c r="B956">
        <v>2830</v>
      </c>
      <c r="C956" t="s">
        <v>23</v>
      </c>
      <c r="D956" t="s">
        <v>34</v>
      </c>
      <c r="E956" t="s">
        <v>25</v>
      </c>
      <c r="F956">
        <v>7</v>
      </c>
      <c r="G956">
        <v>2173.5</v>
      </c>
      <c r="H956">
        <v>3364.5779999999995</v>
      </c>
      <c r="K956" t="str">
        <f t="shared" si="42"/>
        <v>1.5%</v>
      </c>
      <c r="L956" t="str">
        <f t="shared" si="43"/>
        <v>Need Improvement</v>
      </c>
      <c r="M956" t="b">
        <f>TRUE()</f>
        <v>1</v>
      </c>
      <c r="N956" t="b">
        <f>FALSE()</f>
        <v>0</v>
      </c>
      <c r="O956" s="18" t="b">
        <f t="shared" si="44"/>
        <v>0</v>
      </c>
    </row>
    <row r="957" spans="1:15" x14ac:dyDescent="0.35">
      <c r="A957">
        <v>40920</v>
      </c>
      <c r="B957">
        <v>2466</v>
      </c>
      <c r="C957" t="s">
        <v>27</v>
      </c>
      <c r="D957" t="s">
        <v>34</v>
      </c>
      <c r="E957" t="s">
        <v>29</v>
      </c>
      <c r="F957">
        <v>6</v>
      </c>
      <c r="G957">
        <v>3546</v>
      </c>
      <c r="H957">
        <v>2980.7676000000001</v>
      </c>
      <c r="K957" t="str">
        <f t="shared" si="42"/>
        <v>1.5%</v>
      </c>
      <c r="L957" t="str">
        <f t="shared" si="43"/>
        <v>Need Improvement</v>
      </c>
      <c r="M957" t="b">
        <f>TRUE()</f>
        <v>1</v>
      </c>
      <c r="N957" t="b">
        <f>FALSE()</f>
        <v>0</v>
      </c>
      <c r="O957" s="18" t="b">
        <f t="shared" si="44"/>
        <v>0</v>
      </c>
    </row>
    <row r="958" spans="1:15" x14ac:dyDescent="0.35">
      <c r="A958">
        <v>40921</v>
      </c>
      <c r="B958">
        <v>2831</v>
      </c>
      <c r="C958" t="s">
        <v>26</v>
      </c>
      <c r="D958" t="s">
        <v>34</v>
      </c>
      <c r="E958" t="s">
        <v>25</v>
      </c>
      <c r="F958">
        <v>6</v>
      </c>
      <c r="G958">
        <v>6439.5</v>
      </c>
      <c r="H958">
        <v>901.31534999999997</v>
      </c>
      <c r="K958" t="str">
        <f t="shared" si="42"/>
        <v>2.5%</v>
      </c>
      <c r="L958" t="str">
        <f t="shared" si="43"/>
        <v>Need Improvement</v>
      </c>
      <c r="M958" t="b">
        <f>TRUE()</f>
        <v>1</v>
      </c>
      <c r="N958" t="b">
        <f>FALSE()</f>
        <v>0</v>
      </c>
      <c r="O958" s="18" t="b">
        <f t="shared" si="44"/>
        <v>0</v>
      </c>
    </row>
    <row r="959" spans="1:15" x14ac:dyDescent="0.35">
      <c r="A959">
        <v>40922</v>
      </c>
      <c r="B959">
        <v>2467</v>
      </c>
      <c r="C959" t="s">
        <v>23</v>
      </c>
      <c r="D959" t="s">
        <v>34</v>
      </c>
      <c r="E959" t="s">
        <v>29</v>
      </c>
      <c r="F959">
        <v>10</v>
      </c>
      <c r="G959">
        <v>14300</v>
      </c>
      <c r="H959">
        <v>5694.26</v>
      </c>
      <c r="K959" t="str">
        <f t="shared" si="42"/>
        <v>5%</v>
      </c>
      <c r="L959" t="str">
        <f t="shared" si="43"/>
        <v>Good</v>
      </c>
      <c r="M959" t="b">
        <f>TRUE()</f>
        <v>1</v>
      </c>
      <c r="N959" t="b">
        <f>FALSE()</f>
        <v>0</v>
      </c>
      <c r="O959" s="18" t="b">
        <f t="shared" si="44"/>
        <v>0</v>
      </c>
    </row>
    <row r="960" spans="1:15" x14ac:dyDescent="0.35">
      <c r="A960">
        <v>40923</v>
      </c>
      <c r="B960">
        <v>2832</v>
      </c>
      <c r="C960" t="s">
        <v>27</v>
      </c>
      <c r="D960" t="s">
        <v>34</v>
      </c>
      <c r="E960" t="s">
        <v>28</v>
      </c>
      <c r="F960">
        <v>8</v>
      </c>
      <c r="G960">
        <v>12060</v>
      </c>
      <c r="H960">
        <v>2411.0352000000003</v>
      </c>
      <c r="K960" t="str">
        <f t="shared" si="42"/>
        <v>5%</v>
      </c>
      <c r="L960" t="str">
        <f t="shared" si="43"/>
        <v>Good</v>
      </c>
      <c r="M960" t="b">
        <f>TRUE()</f>
        <v>1</v>
      </c>
      <c r="N960" t="b">
        <f>FALSE()</f>
        <v>0</v>
      </c>
      <c r="O960" s="18" t="b">
        <f t="shared" si="44"/>
        <v>0</v>
      </c>
    </row>
    <row r="961" spans="1:15" x14ac:dyDescent="0.35">
      <c r="A961">
        <v>40924</v>
      </c>
      <c r="B961">
        <v>2468</v>
      </c>
      <c r="C961" t="s">
        <v>26</v>
      </c>
      <c r="D961" t="s">
        <v>34</v>
      </c>
      <c r="E961" t="s">
        <v>29</v>
      </c>
      <c r="F961">
        <v>9</v>
      </c>
      <c r="G961">
        <v>4104</v>
      </c>
      <c r="H961">
        <v>632.22119999999995</v>
      </c>
      <c r="K961" t="str">
        <f t="shared" si="42"/>
        <v>1.5%</v>
      </c>
      <c r="L961" t="str">
        <f t="shared" si="43"/>
        <v>Need Improvement</v>
      </c>
      <c r="M961" t="b">
        <f>TRUE()</f>
        <v>1</v>
      </c>
      <c r="N961" t="b">
        <f>FALSE()</f>
        <v>0</v>
      </c>
      <c r="O961" s="18" t="b">
        <f t="shared" si="44"/>
        <v>0</v>
      </c>
    </row>
    <row r="962" spans="1:15" x14ac:dyDescent="0.35">
      <c r="A962">
        <v>40925</v>
      </c>
      <c r="B962">
        <v>2833</v>
      </c>
      <c r="C962" t="s">
        <v>23</v>
      </c>
      <c r="D962" t="s">
        <v>34</v>
      </c>
      <c r="E962" t="s">
        <v>28</v>
      </c>
      <c r="F962">
        <v>8</v>
      </c>
      <c r="G962">
        <v>10640</v>
      </c>
      <c r="H962">
        <v>2694.0480000000002</v>
      </c>
      <c r="K962" t="str">
        <f t="shared" si="42"/>
        <v>5%</v>
      </c>
      <c r="L962" t="str">
        <f t="shared" si="43"/>
        <v>Good</v>
      </c>
      <c r="M962" t="b">
        <f>TRUE()</f>
        <v>1</v>
      </c>
      <c r="N962" t="b">
        <f>FALSE()</f>
        <v>0</v>
      </c>
      <c r="O962" s="18" t="b">
        <f t="shared" si="44"/>
        <v>0</v>
      </c>
    </row>
    <row r="963" spans="1:15" x14ac:dyDescent="0.35">
      <c r="A963">
        <v>40926</v>
      </c>
      <c r="B963">
        <v>2469</v>
      </c>
      <c r="C963" t="s">
        <v>27</v>
      </c>
      <c r="D963" t="s">
        <v>34</v>
      </c>
      <c r="E963" t="s">
        <v>25</v>
      </c>
      <c r="F963">
        <v>6</v>
      </c>
      <c r="G963">
        <v>3654</v>
      </c>
      <c r="H963">
        <v>2649.8807999999999</v>
      </c>
      <c r="K963" t="str">
        <f t="shared" ref="K963:K1026" si="45">IF(G963&gt;10000,"5%",IF(AND(G963&gt;=5000,G963&lt;10000),"2.5%","1.5%"))</f>
        <v>1.5%</v>
      </c>
      <c r="L963" t="str">
        <f t="shared" ref="L963:L1026" si="46">IF(OR(G963&gt;10000,H963&gt;=5000),"Good","Need Improvement")</f>
        <v>Need Improvement</v>
      </c>
      <c r="M963" t="b">
        <f>TRUE()</f>
        <v>1</v>
      </c>
      <c r="N963" t="b">
        <f>FALSE()</f>
        <v>0</v>
      </c>
      <c r="O963" s="18" t="b">
        <f t="shared" ref="O963:O1026" si="47">NOT(M963)</f>
        <v>0</v>
      </c>
    </row>
    <row r="964" spans="1:15" x14ac:dyDescent="0.35">
      <c r="A964">
        <v>40927</v>
      </c>
      <c r="B964">
        <v>2834</v>
      </c>
      <c r="C964" t="s">
        <v>26</v>
      </c>
      <c r="D964" t="s">
        <v>34</v>
      </c>
      <c r="E964" t="s">
        <v>28</v>
      </c>
      <c r="F964">
        <v>8</v>
      </c>
      <c r="G964">
        <v>7440</v>
      </c>
      <c r="H964">
        <v>1705.2479999999998</v>
      </c>
      <c r="K964" t="str">
        <f t="shared" si="45"/>
        <v>2.5%</v>
      </c>
      <c r="L964" t="str">
        <f t="shared" si="46"/>
        <v>Need Improvement</v>
      </c>
      <c r="M964" t="b">
        <f>TRUE()</f>
        <v>1</v>
      </c>
      <c r="N964" t="b">
        <f>FALSE()</f>
        <v>0</v>
      </c>
      <c r="O964" s="18" t="b">
        <f t="shared" si="47"/>
        <v>0</v>
      </c>
    </row>
    <row r="965" spans="1:15" x14ac:dyDescent="0.35">
      <c r="A965">
        <v>40928</v>
      </c>
      <c r="B965">
        <v>2470</v>
      </c>
      <c r="C965" t="s">
        <v>23</v>
      </c>
      <c r="D965" t="s">
        <v>34</v>
      </c>
      <c r="E965" t="s">
        <v>25</v>
      </c>
      <c r="F965">
        <v>10</v>
      </c>
      <c r="G965">
        <v>9840</v>
      </c>
      <c r="H965">
        <v>3874.5</v>
      </c>
      <c r="K965" t="str">
        <f t="shared" si="45"/>
        <v>2.5%</v>
      </c>
      <c r="L965" t="str">
        <f t="shared" si="46"/>
        <v>Need Improvement</v>
      </c>
      <c r="M965" t="b">
        <f>TRUE()</f>
        <v>1</v>
      </c>
      <c r="N965" t="b">
        <f>FALSE()</f>
        <v>0</v>
      </c>
      <c r="O965" s="18" t="b">
        <f t="shared" si="47"/>
        <v>0</v>
      </c>
    </row>
    <row r="966" spans="1:15" x14ac:dyDescent="0.35">
      <c r="A966">
        <v>40929</v>
      </c>
      <c r="B966">
        <v>2835</v>
      </c>
      <c r="C966" t="s">
        <v>27</v>
      </c>
      <c r="D966" t="s">
        <v>34</v>
      </c>
      <c r="E966" t="s">
        <v>29</v>
      </c>
      <c r="F966">
        <v>6</v>
      </c>
      <c r="G966">
        <v>7128</v>
      </c>
      <c r="H966">
        <v>2157.6456000000003</v>
      </c>
      <c r="K966" t="str">
        <f t="shared" si="45"/>
        <v>2.5%</v>
      </c>
      <c r="L966" t="str">
        <f t="shared" si="46"/>
        <v>Need Improvement</v>
      </c>
      <c r="M966" t="b">
        <f>TRUE()</f>
        <v>1</v>
      </c>
      <c r="N966" t="b">
        <f>FALSE()</f>
        <v>0</v>
      </c>
      <c r="O966" s="18" t="b">
        <f t="shared" si="47"/>
        <v>0</v>
      </c>
    </row>
    <row r="967" spans="1:15" x14ac:dyDescent="0.35">
      <c r="A967">
        <v>40930</v>
      </c>
      <c r="B967">
        <v>2471</v>
      </c>
      <c r="C967" t="s">
        <v>26</v>
      </c>
      <c r="D967" t="s">
        <v>34</v>
      </c>
      <c r="E967" t="s">
        <v>25</v>
      </c>
      <c r="F967">
        <v>9</v>
      </c>
      <c r="G967">
        <v>10440</v>
      </c>
      <c r="H967">
        <v>3222.8279999999995</v>
      </c>
      <c r="K967" t="str">
        <f t="shared" si="45"/>
        <v>5%</v>
      </c>
      <c r="L967" t="str">
        <f t="shared" si="46"/>
        <v>Good</v>
      </c>
      <c r="M967" t="b">
        <f>TRUE()</f>
        <v>1</v>
      </c>
      <c r="N967" t="b">
        <f>FALSE()</f>
        <v>0</v>
      </c>
      <c r="O967" s="18" t="b">
        <f t="shared" si="47"/>
        <v>0</v>
      </c>
    </row>
    <row r="968" spans="1:15" x14ac:dyDescent="0.35">
      <c r="A968">
        <v>40931</v>
      </c>
      <c r="B968">
        <v>2836</v>
      </c>
      <c r="C968" t="s">
        <v>23</v>
      </c>
      <c r="D968" t="s">
        <v>34</v>
      </c>
      <c r="E968" t="s">
        <v>29</v>
      </c>
      <c r="F968">
        <v>6</v>
      </c>
      <c r="G968">
        <v>2412</v>
      </c>
      <c r="H968">
        <v>2929.1328000000003</v>
      </c>
      <c r="K968" t="str">
        <f t="shared" si="45"/>
        <v>1.5%</v>
      </c>
      <c r="L968" t="str">
        <f t="shared" si="46"/>
        <v>Need Improvement</v>
      </c>
      <c r="M968" t="b">
        <f>TRUE()</f>
        <v>1</v>
      </c>
      <c r="N968" t="b">
        <f>FALSE()</f>
        <v>0</v>
      </c>
      <c r="O968" s="18" t="b">
        <f t="shared" si="47"/>
        <v>0</v>
      </c>
    </row>
    <row r="969" spans="1:15" x14ac:dyDescent="0.35">
      <c r="A969">
        <v>40932</v>
      </c>
      <c r="B969">
        <v>2472</v>
      </c>
      <c r="C969" t="s">
        <v>27</v>
      </c>
      <c r="D969" t="s">
        <v>34</v>
      </c>
      <c r="E969" t="s">
        <v>28</v>
      </c>
      <c r="F969">
        <v>9</v>
      </c>
      <c r="G969">
        <v>2794.5</v>
      </c>
      <c r="H969">
        <v>5992.8052500000003</v>
      </c>
      <c r="K969" t="str">
        <f t="shared" si="45"/>
        <v>1.5%</v>
      </c>
      <c r="L969" t="str">
        <f t="shared" si="46"/>
        <v>Good</v>
      </c>
      <c r="M969" t="b">
        <f>TRUE()</f>
        <v>1</v>
      </c>
      <c r="N969" t="b">
        <f>FALSE()</f>
        <v>0</v>
      </c>
      <c r="O969" s="18" t="b">
        <f t="shared" si="47"/>
        <v>0</v>
      </c>
    </row>
    <row r="970" spans="1:15" x14ac:dyDescent="0.35">
      <c r="A970">
        <v>40933</v>
      </c>
      <c r="B970">
        <v>2837</v>
      </c>
      <c r="C970" t="s">
        <v>26</v>
      </c>
      <c r="D970" t="s">
        <v>34</v>
      </c>
      <c r="E970" t="s">
        <v>29</v>
      </c>
      <c r="F970">
        <v>8</v>
      </c>
      <c r="G970">
        <v>2988</v>
      </c>
      <c r="H970">
        <v>1167.4115999999999</v>
      </c>
      <c r="K970" t="str">
        <f t="shared" si="45"/>
        <v>1.5%</v>
      </c>
      <c r="L970" t="str">
        <f t="shared" si="46"/>
        <v>Need Improvement</v>
      </c>
      <c r="M970" t="b">
        <f>TRUE()</f>
        <v>1</v>
      </c>
      <c r="N970" t="b">
        <f>FALSE()</f>
        <v>0</v>
      </c>
      <c r="O970" s="18" t="b">
        <f t="shared" si="47"/>
        <v>0</v>
      </c>
    </row>
    <row r="971" spans="1:15" x14ac:dyDescent="0.35">
      <c r="A971">
        <v>40934</v>
      </c>
      <c r="B971">
        <v>2473</v>
      </c>
      <c r="C971" t="s">
        <v>23</v>
      </c>
      <c r="D971" t="s">
        <v>34</v>
      </c>
      <c r="E971" t="s">
        <v>28</v>
      </c>
      <c r="F971">
        <v>7</v>
      </c>
      <c r="G971">
        <v>4830</v>
      </c>
      <c r="H971">
        <v>3731.1750000000002</v>
      </c>
      <c r="K971" t="str">
        <f t="shared" si="45"/>
        <v>1.5%</v>
      </c>
      <c r="L971" t="str">
        <f t="shared" si="46"/>
        <v>Need Improvement</v>
      </c>
      <c r="M971" t="b">
        <f>TRUE()</f>
        <v>1</v>
      </c>
      <c r="N971" t="b">
        <f>FALSE()</f>
        <v>0</v>
      </c>
      <c r="O971" s="18" t="b">
        <f t="shared" si="47"/>
        <v>0</v>
      </c>
    </row>
    <row r="972" spans="1:15" x14ac:dyDescent="0.35">
      <c r="A972">
        <v>40935</v>
      </c>
      <c r="B972">
        <v>2838</v>
      </c>
      <c r="C972" t="s">
        <v>27</v>
      </c>
      <c r="D972" t="s">
        <v>34</v>
      </c>
      <c r="E972" t="s">
        <v>25</v>
      </c>
      <c r="F972">
        <v>8</v>
      </c>
      <c r="G972">
        <v>8760</v>
      </c>
      <c r="H972">
        <v>1515.8303999999998</v>
      </c>
      <c r="K972" t="str">
        <f t="shared" si="45"/>
        <v>2.5%</v>
      </c>
      <c r="L972" t="str">
        <f t="shared" si="46"/>
        <v>Need Improvement</v>
      </c>
      <c r="M972" t="b">
        <f>TRUE()</f>
        <v>1</v>
      </c>
      <c r="N972" t="b">
        <f>FALSE()</f>
        <v>0</v>
      </c>
      <c r="O972" s="18" t="b">
        <f t="shared" si="47"/>
        <v>0</v>
      </c>
    </row>
    <row r="973" spans="1:15" x14ac:dyDescent="0.35">
      <c r="A973">
        <v>40936</v>
      </c>
      <c r="B973">
        <v>2474</v>
      </c>
      <c r="C973" t="s">
        <v>26</v>
      </c>
      <c r="D973" t="s">
        <v>34</v>
      </c>
      <c r="E973" t="s">
        <v>28</v>
      </c>
      <c r="F973">
        <v>6</v>
      </c>
      <c r="G973">
        <v>1377</v>
      </c>
      <c r="H973">
        <v>533.31209999999987</v>
      </c>
      <c r="K973" t="str">
        <f t="shared" si="45"/>
        <v>1.5%</v>
      </c>
      <c r="L973" t="str">
        <f t="shared" si="46"/>
        <v>Need Improvement</v>
      </c>
      <c r="M973" t="b">
        <f>TRUE()</f>
        <v>1</v>
      </c>
      <c r="N973" t="b">
        <f>FALSE()</f>
        <v>0</v>
      </c>
      <c r="O973" s="18" t="b">
        <f t="shared" si="47"/>
        <v>0</v>
      </c>
    </row>
    <row r="974" spans="1:15" x14ac:dyDescent="0.35">
      <c r="A974">
        <v>40937</v>
      </c>
      <c r="B974">
        <v>2839</v>
      </c>
      <c r="C974" t="s">
        <v>23</v>
      </c>
      <c r="D974" t="s">
        <v>34</v>
      </c>
      <c r="E974" t="s">
        <v>25</v>
      </c>
      <c r="F974">
        <v>8</v>
      </c>
      <c r="G974">
        <v>10704</v>
      </c>
      <c r="H974">
        <v>1048.1891999999998</v>
      </c>
      <c r="K974" t="str">
        <f t="shared" si="45"/>
        <v>5%</v>
      </c>
      <c r="L974" t="str">
        <f t="shared" si="46"/>
        <v>Good</v>
      </c>
      <c r="M974" t="b">
        <f>TRUE()</f>
        <v>1</v>
      </c>
      <c r="N974" t="b">
        <f>FALSE()</f>
        <v>0</v>
      </c>
      <c r="O974" s="18" t="b">
        <f t="shared" si="47"/>
        <v>0</v>
      </c>
    </row>
    <row r="975" spans="1:15" x14ac:dyDescent="0.35">
      <c r="A975">
        <v>40938</v>
      </c>
      <c r="B975">
        <v>2475</v>
      </c>
      <c r="C975" t="s">
        <v>27</v>
      </c>
      <c r="D975" t="s">
        <v>34</v>
      </c>
      <c r="E975" t="s">
        <v>29</v>
      </c>
      <c r="F975">
        <v>7</v>
      </c>
      <c r="G975">
        <v>4830</v>
      </c>
      <c r="H975">
        <v>3560.6760000000004</v>
      </c>
      <c r="K975" t="str">
        <f t="shared" si="45"/>
        <v>1.5%</v>
      </c>
      <c r="L975" t="str">
        <f t="shared" si="46"/>
        <v>Need Improvement</v>
      </c>
      <c r="M975" t="b">
        <f>TRUE()</f>
        <v>1</v>
      </c>
      <c r="N975" t="b">
        <f>FALSE()</f>
        <v>0</v>
      </c>
      <c r="O975" s="18" t="b">
        <f t="shared" si="47"/>
        <v>0</v>
      </c>
    </row>
    <row r="976" spans="1:15" x14ac:dyDescent="0.35">
      <c r="A976">
        <v>40939</v>
      </c>
      <c r="B976">
        <v>2840</v>
      </c>
      <c r="C976" t="s">
        <v>26</v>
      </c>
      <c r="D976" t="s">
        <v>34</v>
      </c>
      <c r="E976" t="s">
        <v>25</v>
      </c>
      <c r="F976">
        <v>9</v>
      </c>
      <c r="G976">
        <v>2268</v>
      </c>
      <c r="H976">
        <v>990.20879999999988</v>
      </c>
      <c r="K976" t="str">
        <f t="shared" si="45"/>
        <v>1.5%</v>
      </c>
      <c r="L976" t="str">
        <f t="shared" si="46"/>
        <v>Need Improvement</v>
      </c>
      <c r="M976" t="b">
        <f>TRUE()</f>
        <v>1</v>
      </c>
      <c r="N976" t="b">
        <f>FALSE()</f>
        <v>0</v>
      </c>
      <c r="O976" s="18" t="b">
        <f t="shared" si="47"/>
        <v>0</v>
      </c>
    </row>
    <row r="977" spans="1:15" x14ac:dyDescent="0.35">
      <c r="A977">
        <v>40940</v>
      </c>
      <c r="B977">
        <v>2476</v>
      </c>
      <c r="C977" t="s">
        <v>23</v>
      </c>
      <c r="D977" t="s">
        <v>34</v>
      </c>
      <c r="E977" t="s">
        <v>29</v>
      </c>
      <c r="F977">
        <v>8</v>
      </c>
      <c r="G977">
        <v>4656</v>
      </c>
      <c r="H977">
        <v>4615.26</v>
      </c>
      <c r="K977" t="str">
        <f t="shared" si="45"/>
        <v>1.5%</v>
      </c>
      <c r="L977" t="str">
        <f t="shared" si="46"/>
        <v>Need Improvement</v>
      </c>
      <c r="M977" t="b">
        <f>TRUE()</f>
        <v>1</v>
      </c>
      <c r="N977" t="b">
        <f>FALSE()</f>
        <v>0</v>
      </c>
      <c r="O977" s="18" t="b">
        <f t="shared" si="47"/>
        <v>0</v>
      </c>
    </row>
    <row r="978" spans="1:15" x14ac:dyDescent="0.35">
      <c r="A978">
        <v>40941</v>
      </c>
      <c r="B978">
        <v>2841</v>
      </c>
      <c r="C978" t="s">
        <v>27</v>
      </c>
      <c r="D978" t="s">
        <v>34</v>
      </c>
      <c r="E978" t="s">
        <v>28</v>
      </c>
      <c r="F978">
        <v>6</v>
      </c>
      <c r="G978">
        <v>3510</v>
      </c>
      <c r="H978">
        <v>591.2595</v>
      </c>
      <c r="K978" t="str">
        <f t="shared" si="45"/>
        <v>1.5%</v>
      </c>
      <c r="L978" t="str">
        <f t="shared" si="46"/>
        <v>Need Improvement</v>
      </c>
      <c r="M978" t="b">
        <f>TRUE()</f>
        <v>1</v>
      </c>
      <c r="N978" t="b">
        <f>FALSE()</f>
        <v>0</v>
      </c>
      <c r="O978" s="18" t="b">
        <f t="shared" si="47"/>
        <v>0</v>
      </c>
    </row>
    <row r="979" spans="1:15" x14ac:dyDescent="0.35">
      <c r="A979">
        <v>40942</v>
      </c>
      <c r="B979">
        <v>2477</v>
      </c>
      <c r="C979" t="s">
        <v>26</v>
      </c>
      <c r="D979" t="s">
        <v>34</v>
      </c>
      <c r="E979" t="s">
        <v>29</v>
      </c>
      <c r="F979">
        <v>10</v>
      </c>
      <c r="G979">
        <v>6060</v>
      </c>
      <c r="H979">
        <v>601.75800000000004</v>
      </c>
      <c r="K979" t="str">
        <f t="shared" si="45"/>
        <v>2.5%</v>
      </c>
      <c r="L979" t="str">
        <f t="shared" si="46"/>
        <v>Need Improvement</v>
      </c>
      <c r="M979" t="b">
        <f>TRUE()</f>
        <v>1</v>
      </c>
      <c r="N979" t="b">
        <f>FALSE()</f>
        <v>0</v>
      </c>
      <c r="O979" s="18" t="b">
        <f t="shared" si="47"/>
        <v>0</v>
      </c>
    </row>
    <row r="980" spans="1:15" x14ac:dyDescent="0.35">
      <c r="A980">
        <v>40943</v>
      </c>
      <c r="B980">
        <v>2842</v>
      </c>
      <c r="C980" t="s">
        <v>23</v>
      </c>
      <c r="D980" t="s">
        <v>34</v>
      </c>
      <c r="E980" t="s">
        <v>28</v>
      </c>
      <c r="F980">
        <v>10</v>
      </c>
      <c r="G980">
        <v>2100</v>
      </c>
      <c r="H980">
        <v>2436.84</v>
      </c>
      <c r="K980" t="str">
        <f t="shared" si="45"/>
        <v>1.5%</v>
      </c>
      <c r="L980" t="str">
        <f t="shared" si="46"/>
        <v>Need Improvement</v>
      </c>
      <c r="M980" t="b">
        <f>TRUE()</f>
        <v>1</v>
      </c>
      <c r="N980" t="b">
        <f>FALSE()</f>
        <v>0</v>
      </c>
      <c r="O980" s="18" t="b">
        <f t="shared" si="47"/>
        <v>0</v>
      </c>
    </row>
    <row r="981" spans="1:15" x14ac:dyDescent="0.35">
      <c r="A981">
        <v>40944</v>
      </c>
      <c r="B981">
        <v>2478</v>
      </c>
      <c r="C981" t="s">
        <v>27</v>
      </c>
      <c r="D981" t="s">
        <v>34</v>
      </c>
      <c r="E981" t="s">
        <v>25</v>
      </c>
      <c r="F981">
        <v>6</v>
      </c>
      <c r="G981">
        <v>4302</v>
      </c>
      <c r="H981">
        <v>921.27329999999995</v>
      </c>
      <c r="K981" t="str">
        <f t="shared" si="45"/>
        <v>1.5%</v>
      </c>
      <c r="L981" t="str">
        <f t="shared" si="46"/>
        <v>Need Improvement</v>
      </c>
      <c r="M981" t="b">
        <f>TRUE()</f>
        <v>1</v>
      </c>
      <c r="N981" t="b">
        <f>FALSE()</f>
        <v>0</v>
      </c>
      <c r="O981" s="18" t="b">
        <f t="shared" si="47"/>
        <v>0</v>
      </c>
    </row>
    <row r="982" spans="1:15" x14ac:dyDescent="0.35">
      <c r="A982">
        <v>40945</v>
      </c>
      <c r="B982">
        <v>2843</v>
      </c>
      <c r="C982" t="s">
        <v>26</v>
      </c>
      <c r="D982" t="s">
        <v>34</v>
      </c>
      <c r="E982" t="s">
        <v>28</v>
      </c>
      <c r="F982">
        <v>6</v>
      </c>
      <c r="G982">
        <v>4950</v>
      </c>
      <c r="H982">
        <v>3771.9</v>
      </c>
      <c r="K982" t="str">
        <f t="shared" si="45"/>
        <v>1.5%</v>
      </c>
      <c r="L982" t="str">
        <f t="shared" si="46"/>
        <v>Need Improvement</v>
      </c>
      <c r="M982" t="b">
        <f>TRUE()</f>
        <v>1</v>
      </c>
      <c r="N982" t="b">
        <f>FALSE()</f>
        <v>0</v>
      </c>
      <c r="O982" s="18" t="b">
        <f t="shared" si="47"/>
        <v>0</v>
      </c>
    </row>
    <row r="983" spans="1:15" x14ac:dyDescent="0.35">
      <c r="A983">
        <v>40946</v>
      </c>
      <c r="B983">
        <v>2479</v>
      </c>
      <c r="C983" t="s">
        <v>23</v>
      </c>
      <c r="D983" t="s">
        <v>34</v>
      </c>
      <c r="E983" t="s">
        <v>25</v>
      </c>
      <c r="F983">
        <v>9</v>
      </c>
      <c r="G983">
        <v>8586</v>
      </c>
      <c r="H983">
        <v>6004.4759999999997</v>
      </c>
      <c r="K983" t="str">
        <f t="shared" si="45"/>
        <v>2.5%</v>
      </c>
      <c r="L983" t="str">
        <f t="shared" si="46"/>
        <v>Good</v>
      </c>
      <c r="M983" t="b">
        <f>TRUE()</f>
        <v>1</v>
      </c>
      <c r="N983" t="b">
        <f>FALSE()</f>
        <v>0</v>
      </c>
      <c r="O983" s="18" t="b">
        <f t="shared" si="47"/>
        <v>0</v>
      </c>
    </row>
    <row r="984" spans="1:15" x14ac:dyDescent="0.35">
      <c r="A984">
        <v>40947</v>
      </c>
      <c r="B984">
        <v>2844</v>
      </c>
      <c r="C984" t="s">
        <v>27</v>
      </c>
      <c r="D984" t="s">
        <v>34</v>
      </c>
      <c r="E984" t="s">
        <v>29</v>
      </c>
      <c r="F984">
        <v>8</v>
      </c>
      <c r="G984">
        <v>4176</v>
      </c>
      <c r="H984">
        <v>2659.6943999999994</v>
      </c>
      <c r="K984" t="str">
        <f t="shared" si="45"/>
        <v>1.5%</v>
      </c>
      <c r="L984" t="str">
        <f t="shared" si="46"/>
        <v>Need Improvement</v>
      </c>
      <c r="M984" t="b">
        <f>TRUE()</f>
        <v>1</v>
      </c>
      <c r="N984" t="b">
        <f>FALSE()</f>
        <v>0</v>
      </c>
      <c r="O984" s="18" t="b">
        <f t="shared" si="47"/>
        <v>0</v>
      </c>
    </row>
    <row r="985" spans="1:15" x14ac:dyDescent="0.35">
      <c r="A985">
        <v>40948</v>
      </c>
      <c r="B985">
        <v>2480</v>
      </c>
      <c r="C985" t="s">
        <v>26</v>
      </c>
      <c r="D985" t="s">
        <v>34</v>
      </c>
      <c r="E985" t="s">
        <v>25</v>
      </c>
      <c r="F985">
        <v>7</v>
      </c>
      <c r="G985">
        <v>6615</v>
      </c>
      <c r="H985">
        <v>1713.1196250000003</v>
      </c>
      <c r="K985" t="str">
        <f t="shared" si="45"/>
        <v>2.5%</v>
      </c>
      <c r="L985" t="str">
        <f t="shared" si="46"/>
        <v>Need Improvement</v>
      </c>
      <c r="M985" t="b">
        <f>TRUE()</f>
        <v>1</v>
      </c>
      <c r="N985" t="b">
        <f>FALSE()</f>
        <v>0</v>
      </c>
      <c r="O985" s="18" t="b">
        <f t="shared" si="47"/>
        <v>0</v>
      </c>
    </row>
    <row r="986" spans="1:15" x14ac:dyDescent="0.35">
      <c r="A986">
        <v>40949</v>
      </c>
      <c r="B986">
        <v>2845</v>
      </c>
      <c r="C986" t="s">
        <v>23</v>
      </c>
      <c r="D986" t="s">
        <v>34</v>
      </c>
      <c r="E986" t="s">
        <v>29</v>
      </c>
      <c r="F986">
        <v>8</v>
      </c>
      <c r="G986">
        <v>7668</v>
      </c>
      <c r="H986">
        <v>3251.9987999999994</v>
      </c>
      <c r="K986" t="str">
        <f t="shared" si="45"/>
        <v>2.5%</v>
      </c>
      <c r="L986" t="str">
        <f t="shared" si="46"/>
        <v>Need Improvement</v>
      </c>
      <c r="M986" t="b">
        <f>TRUE()</f>
        <v>1</v>
      </c>
      <c r="N986" t="b">
        <f>FALSE()</f>
        <v>0</v>
      </c>
      <c r="O986" s="18" t="b">
        <f t="shared" si="47"/>
        <v>0</v>
      </c>
    </row>
    <row r="987" spans="1:15" x14ac:dyDescent="0.35">
      <c r="A987">
        <v>40950</v>
      </c>
      <c r="B987">
        <v>2481</v>
      </c>
      <c r="C987" t="s">
        <v>27</v>
      </c>
      <c r="D987" t="s">
        <v>34</v>
      </c>
      <c r="E987" t="s">
        <v>28</v>
      </c>
      <c r="F987">
        <v>9</v>
      </c>
      <c r="G987">
        <v>4887</v>
      </c>
      <c r="H987">
        <v>3844.8472500000003</v>
      </c>
      <c r="K987" t="str">
        <f t="shared" si="45"/>
        <v>1.5%</v>
      </c>
      <c r="L987" t="str">
        <f t="shared" si="46"/>
        <v>Need Improvement</v>
      </c>
      <c r="M987" t="b">
        <f>TRUE()</f>
        <v>1</v>
      </c>
      <c r="N987" t="b">
        <f>FALSE()</f>
        <v>0</v>
      </c>
      <c r="O987" s="18" t="b">
        <f t="shared" si="47"/>
        <v>0</v>
      </c>
    </row>
    <row r="988" spans="1:15" x14ac:dyDescent="0.35">
      <c r="A988">
        <v>40951</v>
      </c>
      <c r="B988">
        <v>2846</v>
      </c>
      <c r="C988" t="s">
        <v>26</v>
      </c>
      <c r="D988" t="s">
        <v>34</v>
      </c>
      <c r="E988" t="s">
        <v>29</v>
      </c>
      <c r="F988">
        <v>9</v>
      </c>
      <c r="G988">
        <v>3753</v>
      </c>
      <c r="H988">
        <v>780.24869999999999</v>
      </c>
      <c r="K988" t="str">
        <f t="shared" si="45"/>
        <v>1.5%</v>
      </c>
      <c r="L988" t="str">
        <f t="shared" si="46"/>
        <v>Need Improvement</v>
      </c>
      <c r="M988" t="b">
        <f>TRUE()</f>
        <v>1</v>
      </c>
      <c r="N988" t="b">
        <f>FALSE()</f>
        <v>0</v>
      </c>
      <c r="O988" s="18" t="b">
        <f t="shared" si="47"/>
        <v>0</v>
      </c>
    </row>
    <row r="989" spans="1:15" x14ac:dyDescent="0.35">
      <c r="A989">
        <v>40952</v>
      </c>
      <c r="B989">
        <v>2482</v>
      </c>
      <c r="C989" t="s">
        <v>23</v>
      </c>
      <c r="D989" t="s">
        <v>34</v>
      </c>
      <c r="E989" t="s">
        <v>28</v>
      </c>
      <c r="F989">
        <v>9</v>
      </c>
      <c r="G989">
        <v>3861</v>
      </c>
      <c r="H989">
        <v>3315.6337500000009</v>
      </c>
      <c r="K989" t="str">
        <f t="shared" si="45"/>
        <v>1.5%</v>
      </c>
      <c r="L989" t="str">
        <f t="shared" si="46"/>
        <v>Need Improvement</v>
      </c>
      <c r="M989" t="b">
        <f>TRUE()</f>
        <v>1</v>
      </c>
      <c r="N989" t="b">
        <f>FALSE()</f>
        <v>0</v>
      </c>
      <c r="O989" s="18" t="b">
        <f t="shared" si="47"/>
        <v>0</v>
      </c>
    </row>
    <row r="990" spans="1:15" x14ac:dyDescent="0.35">
      <c r="A990">
        <v>40953</v>
      </c>
      <c r="B990">
        <v>2847</v>
      </c>
      <c r="C990" t="s">
        <v>27</v>
      </c>
      <c r="D990" t="s">
        <v>34</v>
      </c>
      <c r="E990" t="s">
        <v>25</v>
      </c>
      <c r="F990">
        <v>9</v>
      </c>
      <c r="G990">
        <v>9247.5</v>
      </c>
      <c r="H990">
        <v>751.63679999999999</v>
      </c>
      <c r="K990" t="str">
        <f t="shared" si="45"/>
        <v>2.5%</v>
      </c>
      <c r="L990" t="str">
        <f t="shared" si="46"/>
        <v>Need Improvement</v>
      </c>
      <c r="M990" t="b">
        <f>TRUE()</f>
        <v>1</v>
      </c>
      <c r="N990" t="b">
        <f>FALSE()</f>
        <v>0</v>
      </c>
      <c r="O990" s="18" t="b">
        <f t="shared" si="47"/>
        <v>0</v>
      </c>
    </row>
    <row r="991" spans="1:15" x14ac:dyDescent="0.35">
      <c r="A991">
        <v>40954</v>
      </c>
      <c r="B991">
        <v>2483</v>
      </c>
      <c r="C991" t="s">
        <v>26</v>
      </c>
      <c r="D991" t="s">
        <v>34</v>
      </c>
      <c r="E991" t="s">
        <v>28</v>
      </c>
      <c r="F991">
        <v>8</v>
      </c>
      <c r="G991">
        <v>8424</v>
      </c>
      <c r="H991">
        <v>1465.7759999999998</v>
      </c>
      <c r="K991" t="str">
        <f t="shared" si="45"/>
        <v>2.5%</v>
      </c>
      <c r="L991" t="str">
        <f t="shared" si="46"/>
        <v>Need Improvement</v>
      </c>
      <c r="M991" t="b">
        <f>TRUE()</f>
        <v>1</v>
      </c>
      <c r="N991" t="b">
        <f>FALSE()</f>
        <v>0</v>
      </c>
      <c r="O991" s="18" t="b">
        <f t="shared" si="47"/>
        <v>0</v>
      </c>
    </row>
    <row r="992" spans="1:15" x14ac:dyDescent="0.35">
      <c r="A992">
        <v>40955</v>
      </c>
      <c r="B992">
        <v>2848</v>
      </c>
      <c r="C992" t="s">
        <v>23</v>
      </c>
      <c r="D992" t="s">
        <v>34</v>
      </c>
      <c r="E992" t="s">
        <v>25</v>
      </c>
      <c r="F992">
        <v>7</v>
      </c>
      <c r="G992">
        <v>4158</v>
      </c>
      <c r="H992">
        <v>3411.6390000000001</v>
      </c>
      <c r="K992" t="str">
        <f t="shared" si="45"/>
        <v>1.5%</v>
      </c>
      <c r="L992" t="str">
        <f t="shared" si="46"/>
        <v>Need Improvement</v>
      </c>
      <c r="M992" t="b">
        <f>TRUE()</f>
        <v>1</v>
      </c>
      <c r="N992" t="b">
        <f>FALSE()</f>
        <v>0</v>
      </c>
      <c r="O992" s="18" t="b">
        <f t="shared" si="47"/>
        <v>0</v>
      </c>
    </row>
    <row r="993" spans="1:15" x14ac:dyDescent="0.35">
      <c r="A993">
        <v>40956</v>
      </c>
      <c r="B993">
        <v>2484</v>
      </c>
      <c r="C993" t="s">
        <v>27</v>
      </c>
      <c r="D993" t="s">
        <v>34</v>
      </c>
      <c r="E993" t="s">
        <v>29</v>
      </c>
      <c r="F993">
        <v>9</v>
      </c>
      <c r="G993">
        <v>4212</v>
      </c>
      <c r="H993">
        <v>2482.9740000000002</v>
      </c>
      <c r="K993" t="str">
        <f t="shared" si="45"/>
        <v>1.5%</v>
      </c>
      <c r="L993" t="str">
        <f t="shared" si="46"/>
        <v>Need Improvement</v>
      </c>
      <c r="M993" t="b">
        <f>TRUE()</f>
        <v>1</v>
      </c>
      <c r="N993" t="b">
        <f>FALSE()</f>
        <v>0</v>
      </c>
      <c r="O993" s="18" t="b">
        <f t="shared" si="47"/>
        <v>0</v>
      </c>
    </row>
    <row r="994" spans="1:15" x14ac:dyDescent="0.35">
      <c r="A994">
        <v>40957</v>
      </c>
      <c r="B994">
        <v>2849</v>
      </c>
      <c r="C994" t="s">
        <v>26</v>
      </c>
      <c r="D994" t="s">
        <v>34</v>
      </c>
      <c r="E994" t="s">
        <v>25</v>
      </c>
      <c r="F994">
        <v>8</v>
      </c>
      <c r="G994">
        <v>8820</v>
      </c>
      <c r="H994">
        <v>1235.1528000000001</v>
      </c>
      <c r="K994" t="str">
        <f t="shared" si="45"/>
        <v>2.5%</v>
      </c>
      <c r="L994" t="str">
        <f t="shared" si="46"/>
        <v>Need Improvement</v>
      </c>
      <c r="M994" t="b">
        <f>TRUE()</f>
        <v>1</v>
      </c>
      <c r="N994" t="b">
        <f>FALSE()</f>
        <v>0</v>
      </c>
      <c r="O994" s="18" t="b">
        <f t="shared" si="47"/>
        <v>0</v>
      </c>
    </row>
    <row r="995" spans="1:15" x14ac:dyDescent="0.35">
      <c r="A995">
        <v>40958</v>
      </c>
      <c r="B995">
        <v>2485</v>
      </c>
      <c r="C995" t="s">
        <v>23</v>
      </c>
      <c r="D995" t="s">
        <v>34</v>
      </c>
      <c r="E995" t="s">
        <v>29</v>
      </c>
      <c r="F995">
        <v>8</v>
      </c>
      <c r="G995">
        <v>2040</v>
      </c>
      <c r="H995">
        <v>793.35599999999999</v>
      </c>
      <c r="K995" t="str">
        <f t="shared" si="45"/>
        <v>1.5%</v>
      </c>
      <c r="L995" t="str">
        <f t="shared" si="46"/>
        <v>Need Improvement</v>
      </c>
      <c r="M995" t="b">
        <f>TRUE()</f>
        <v>1</v>
      </c>
      <c r="N995" t="b">
        <f>FALSE()</f>
        <v>0</v>
      </c>
      <c r="O995" s="18" t="b">
        <f t="shared" si="47"/>
        <v>0</v>
      </c>
    </row>
    <row r="996" spans="1:15" x14ac:dyDescent="0.35">
      <c r="A996">
        <v>40959</v>
      </c>
      <c r="B996">
        <v>2850</v>
      </c>
      <c r="C996" t="s">
        <v>27</v>
      </c>
      <c r="D996" t="s">
        <v>34</v>
      </c>
      <c r="E996" t="s">
        <v>28</v>
      </c>
      <c r="F996">
        <v>8</v>
      </c>
      <c r="G996">
        <v>7152</v>
      </c>
      <c r="H996">
        <v>774.91920000000005</v>
      </c>
      <c r="K996" t="str">
        <f t="shared" si="45"/>
        <v>2.5%</v>
      </c>
      <c r="L996" t="str">
        <f t="shared" si="46"/>
        <v>Need Improvement</v>
      </c>
      <c r="M996" t="b">
        <f>TRUE()</f>
        <v>1</v>
      </c>
      <c r="N996" t="b">
        <f>FALSE()</f>
        <v>0</v>
      </c>
      <c r="O996" s="18" t="b">
        <f t="shared" si="47"/>
        <v>0</v>
      </c>
    </row>
    <row r="997" spans="1:15" x14ac:dyDescent="0.35">
      <c r="A997">
        <v>40960</v>
      </c>
      <c r="B997">
        <v>2486</v>
      </c>
      <c r="C997" t="s">
        <v>26</v>
      </c>
      <c r="D997" t="s">
        <v>34</v>
      </c>
      <c r="E997" t="s">
        <v>29</v>
      </c>
      <c r="F997">
        <v>6</v>
      </c>
      <c r="G997">
        <v>4734</v>
      </c>
      <c r="H997">
        <v>3942.4751999999999</v>
      </c>
      <c r="K997" t="str">
        <f t="shared" si="45"/>
        <v>1.5%</v>
      </c>
      <c r="L997" t="str">
        <f t="shared" si="46"/>
        <v>Need Improvement</v>
      </c>
      <c r="M997" t="b">
        <f>TRUE()</f>
        <v>1</v>
      </c>
      <c r="N997" t="b">
        <f>FALSE()</f>
        <v>0</v>
      </c>
      <c r="O997" s="18" t="b">
        <f t="shared" si="47"/>
        <v>0</v>
      </c>
    </row>
    <row r="998" spans="1:15" x14ac:dyDescent="0.35">
      <c r="A998">
        <v>40961</v>
      </c>
      <c r="B998">
        <v>2851</v>
      </c>
      <c r="C998" t="s">
        <v>23</v>
      </c>
      <c r="D998" t="s">
        <v>34</v>
      </c>
      <c r="E998" t="s">
        <v>28</v>
      </c>
      <c r="F998">
        <v>8</v>
      </c>
      <c r="G998">
        <v>11376</v>
      </c>
      <c r="H998">
        <v>3846.2255999999998</v>
      </c>
      <c r="K998" t="str">
        <f t="shared" si="45"/>
        <v>5%</v>
      </c>
      <c r="L998" t="str">
        <f t="shared" si="46"/>
        <v>Good</v>
      </c>
      <c r="M998" t="b">
        <f>TRUE()</f>
        <v>1</v>
      </c>
      <c r="N998" t="b">
        <f>FALSE()</f>
        <v>0</v>
      </c>
      <c r="O998" s="18" t="b">
        <f t="shared" si="47"/>
        <v>0</v>
      </c>
    </row>
    <row r="999" spans="1:15" x14ac:dyDescent="0.35">
      <c r="A999">
        <v>40962</v>
      </c>
      <c r="B999">
        <v>2487</v>
      </c>
      <c r="C999" t="s">
        <v>27</v>
      </c>
      <c r="D999" t="s">
        <v>34</v>
      </c>
      <c r="E999" t="s">
        <v>25</v>
      </c>
      <c r="F999">
        <v>9</v>
      </c>
      <c r="G999">
        <v>2173.5</v>
      </c>
      <c r="H999">
        <v>1726.1937000000003</v>
      </c>
      <c r="K999" t="str">
        <f t="shared" si="45"/>
        <v>1.5%</v>
      </c>
      <c r="L999" t="str">
        <f t="shared" si="46"/>
        <v>Need Improvement</v>
      </c>
      <c r="M999" t="b">
        <f>TRUE()</f>
        <v>1</v>
      </c>
      <c r="N999" t="b">
        <f>FALSE()</f>
        <v>0</v>
      </c>
      <c r="O999" s="18" t="b">
        <f t="shared" si="47"/>
        <v>0</v>
      </c>
    </row>
    <row r="1000" spans="1:15" x14ac:dyDescent="0.35">
      <c r="A1000">
        <v>40963</v>
      </c>
      <c r="B1000">
        <v>2852</v>
      </c>
      <c r="C1000" t="s">
        <v>26</v>
      </c>
      <c r="D1000" t="s">
        <v>34</v>
      </c>
      <c r="E1000" t="s">
        <v>28</v>
      </c>
      <c r="F1000">
        <v>9</v>
      </c>
      <c r="G1000">
        <v>8073</v>
      </c>
      <c r="H1000">
        <v>2109.7440000000001</v>
      </c>
      <c r="K1000" t="str">
        <f t="shared" si="45"/>
        <v>2.5%</v>
      </c>
      <c r="L1000" t="str">
        <f t="shared" si="46"/>
        <v>Need Improvement</v>
      </c>
      <c r="M1000" t="b">
        <f>TRUE()</f>
        <v>1</v>
      </c>
      <c r="N1000" t="b">
        <f>FALSE()</f>
        <v>0</v>
      </c>
      <c r="O1000" s="18" t="b">
        <f t="shared" si="47"/>
        <v>0</v>
      </c>
    </row>
    <row r="1001" spans="1:15" x14ac:dyDescent="0.35">
      <c r="A1001">
        <v>40964</v>
      </c>
      <c r="B1001">
        <v>2488</v>
      </c>
      <c r="C1001" t="s">
        <v>23</v>
      </c>
      <c r="D1001" t="s">
        <v>34</v>
      </c>
      <c r="E1001" t="s">
        <v>25</v>
      </c>
      <c r="F1001">
        <v>9</v>
      </c>
      <c r="G1001">
        <v>7020</v>
      </c>
      <c r="H1001">
        <v>3148.47</v>
      </c>
      <c r="K1001" t="str">
        <f t="shared" si="45"/>
        <v>2.5%</v>
      </c>
      <c r="L1001" t="str">
        <f t="shared" si="46"/>
        <v>Need Improvement</v>
      </c>
      <c r="M1001" t="b">
        <f>TRUE()</f>
        <v>1</v>
      </c>
      <c r="N1001" t="b">
        <f>FALSE()</f>
        <v>0</v>
      </c>
      <c r="O1001" s="18" t="b">
        <f t="shared" si="47"/>
        <v>0</v>
      </c>
    </row>
    <row r="1002" spans="1:15" x14ac:dyDescent="0.35">
      <c r="A1002">
        <v>40965</v>
      </c>
      <c r="B1002">
        <v>2853</v>
      </c>
      <c r="C1002" t="s">
        <v>27</v>
      </c>
      <c r="D1002" t="s">
        <v>34</v>
      </c>
      <c r="E1002" t="s">
        <v>29</v>
      </c>
      <c r="F1002">
        <v>7</v>
      </c>
      <c r="G1002">
        <v>5103</v>
      </c>
      <c r="H1002">
        <v>715.4405999999999</v>
      </c>
      <c r="K1002" t="str">
        <f t="shared" si="45"/>
        <v>2.5%</v>
      </c>
      <c r="L1002" t="str">
        <f t="shared" si="46"/>
        <v>Need Improvement</v>
      </c>
      <c r="M1002" t="b">
        <f>TRUE()</f>
        <v>1</v>
      </c>
      <c r="N1002" t="b">
        <f>FALSE()</f>
        <v>0</v>
      </c>
      <c r="O1002" s="18" t="b">
        <f t="shared" si="47"/>
        <v>0</v>
      </c>
    </row>
    <row r="1003" spans="1:15" x14ac:dyDescent="0.35">
      <c r="A1003">
        <v>40966</v>
      </c>
      <c r="B1003">
        <v>2489</v>
      </c>
      <c r="C1003" t="s">
        <v>26</v>
      </c>
      <c r="D1003" t="s">
        <v>34</v>
      </c>
      <c r="E1003" t="s">
        <v>25</v>
      </c>
      <c r="F1003">
        <v>8</v>
      </c>
      <c r="G1003">
        <v>7800</v>
      </c>
      <c r="H1003">
        <v>487.5</v>
      </c>
      <c r="K1003" t="str">
        <f t="shared" si="45"/>
        <v>2.5%</v>
      </c>
      <c r="L1003" t="str">
        <f t="shared" si="46"/>
        <v>Need Improvement</v>
      </c>
      <c r="M1003" t="b">
        <f>TRUE()</f>
        <v>1</v>
      </c>
      <c r="N1003" t="b">
        <f>FALSE()</f>
        <v>0</v>
      </c>
      <c r="O1003" s="18" t="b">
        <f t="shared" si="47"/>
        <v>0</v>
      </c>
    </row>
    <row r="1004" spans="1:15" x14ac:dyDescent="0.35">
      <c r="A1004">
        <v>40967</v>
      </c>
      <c r="B1004">
        <v>2854</v>
      </c>
      <c r="C1004" t="s">
        <v>23</v>
      </c>
      <c r="D1004" t="s">
        <v>34</v>
      </c>
      <c r="E1004" t="s">
        <v>29</v>
      </c>
      <c r="F1004">
        <v>9</v>
      </c>
      <c r="G1004">
        <v>7533</v>
      </c>
      <c r="H1004">
        <v>1518.6528000000001</v>
      </c>
      <c r="K1004" t="str">
        <f t="shared" si="45"/>
        <v>2.5%</v>
      </c>
      <c r="L1004" t="str">
        <f t="shared" si="46"/>
        <v>Need Improvement</v>
      </c>
      <c r="M1004" t="b">
        <f>TRUE()</f>
        <v>1</v>
      </c>
      <c r="N1004" t="b">
        <f>FALSE()</f>
        <v>0</v>
      </c>
      <c r="O1004" s="18" t="b">
        <f t="shared" si="47"/>
        <v>0</v>
      </c>
    </row>
    <row r="1005" spans="1:15" x14ac:dyDescent="0.35">
      <c r="A1005">
        <v>40969</v>
      </c>
      <c r="B1005">
        <v>2490</v>
      </c>
      <c r="C1005" t="s">
        <v>27</v>
      </c>
      <c r="D1005" t="s">
        <v>34</v>
      </c>
      <c r="E1005" t="s">
        <v>28</v>
      </c>
      <c r="F1005">
        <v>8</v>
      </c>
      <c r="G1005">
        <v>13020</v>
      </c>
      <c r="H1005">
        <v>898.37999999999988</v>
      </c>
      <c r="K1005" t="str">
        <f t="shared" si="45"/>
        <v>5%</v>
      </c>
      <c r="L1005" t="str">
        <f t="shared" si="46"/>
        <v>Good</v>
      </c>
      <c r="M1005" t="b">
        <f>TRUE()</f>
        <v>1</v>
      </c>
      <c r="N1005" t="b">
        <f>FALSE()</f>
        <v>0</v>
      </c>
      <c r="O1005" s="18" t="b">
        <f t="shared" si="47"/>
        <v>0</v>
      </c>
    </row>
    <row r="1006" spans="1:15" x14ac:dyDescent="0.35">
      <c r="A1006">
        <v>40970</v>
      </c>
      <c r="B1006">
        <v>2855</v>
      </c>
      <c r="C1006" t="s">
        <v>26</v>
      </c>
      <c r="D1006" t="s">
        <v>34</v>
      </c>
      <c r="E1006" t="s">
        <v>29</v>
      </c>
      <c r="F1006">
        <v>6</v>
      </c>
      <c r="G1006">
        <v>11520</v>
      </c>
      <c r="H1006">
        <v>3578.5727999999995</v>
      </c>
      <c r="K1006" t="str">
        <f t="shared" si="45"/>
        <v>5%</v>
      </c>
      <c r="L1006" t="str">
        <f t="shared" si="46"/>
        <v>Good</v>
      </c>
      <c r="M1006" t="b">
        <f>TRUE()</f>
        <v>1</v>
      </c>
      <c r="N1006" t="b">
        <f>FALSE()</f>
        <v>0</v>
      </c>
      <c r="O1006" s="18" t="b">
        <f t="shared" si="47"/>
        <v>0</v>
      </c>
    </row>
    <row r="1007" spans="1:15" x14ac:dyDescent="0.35">
      <c r="A1007">
        <v>40971</v>
      </c>
      <c r="B1007">
        <v>2491</v>
      </c>
      <c r="C1007" t="s">
        <v>23</v>
      </c>
      <c r="D1007" t="s">
        <v>34</v>
      </c>
      <c r="E1007" t="s">
        <v>28</v>
      </c>
      <c r="F1007">
        <v>7</v>
      </c>
      <c r="G1007">
        <v>8400</v>
      </c>
      <c r="H1007">
        <v>2535.96</v>
      </c>
      <c r="K1007" t="str">
        <f t="shared" si="45"/>
        <v>2.5%</v>
      </c>
      <c r="L1007" t="str">
        <f t="shared" si="46"/>
        <v>Need Improvement</v>
      </c>
      <c r="M1007" t="b">
        <f>TRUE()</f>
        <v>1</v>
      </c>
      <c r="N1007" t="b">
        <f>FALSE()</f>
        <v>0</v>
      </c>
      <c r="O1007" s="18" t="b">
        <f t="shared" si="47"/>
        <v>0</v>
      </c>
    </row>
    <row r="1008" spans="1:15" x14ac:dyDescent="0.35">
      <c r="A1008">
        <v>40972</v>
      </c>
      <c r="B1008">
        <v>2856</v>
      </c>
      <c r="C1008" t="s">
        <v>27</v>
      </c>
      <c r="D1008" t="s">
        <v>34</v>
      </c>
      <c r="E1008" t="s">
        <v>25</v>
      </c>
      <c r="F1008">
        <v>8</v>
      </c>
      <c r="G1008">
        <v>3960</v>
      </c>
      <c r="H1008">
        <v>712.99800000000005</v>
      </c>
      <c r="K1008" t="str">
        <f t="shared" si="45"/>
        <v>1.5%</v>
      </c>
      <c r="L1008" t="str">
        <f t="shared" si="46"/>
        <v>Need Improvement</v>
      </c>
      <c r="M1008" t="b">
        <f>TRUE()</f>
        <v>1</v>
      </c>
      <c r="N1008" t="b">
        <f>FALSE()</f>
        <v>0</v>
      </c>
      <c r="O1008" s="18" t="b">
        <f t="shared" si="47"/>
        <v>0</v>
      </c>
    </row>
    <row r="1009" spans="1:15" x14ac:dyDescent="0.35">
      <c r="A1009">
        <v>40973</v>
      </c>
      <c r="B1009">
        <v>2492</v>
      </c>
      <c r="C1009" t="s">
        <v>26</v>
      </c>
      <c r="D1009" t="s">
        <v>34</v>
      </c>
      <c r="E1009" t="s">
        <v>28</v>
      </c>
      <c r="F1009">
        <v>10</v>
      </c>
      <c r="G1009">
        <v>13300</v>
      </c>
      <c r="H1009">
        <v>1908.816</v>
      </c>
      <c r="K1009" t="str">
        <f t="shared" si="45"/>
        <v>5%</v>
      </c>
      <c r="L1009" t="str">
        <f t="shared" si="46"/>
        <v>Good</v>
      </c>
      <c r="M1009" t="b">
        <f>TRUE()</f>
        <v>1</v>
      </c>
      <c r="N1009" t="b">
        <f>FALSE()</f>
        <v>0</v>
      </c>
      <c r="O1009" s="18" t="b">
        <f t="shared" si="47"/>
        <v>0</v>
      </c>
    </row>
    <row r="1010" spans="1:15" x14ac:dyDescent="0.35">
      <c r="A1010">
        <v>41339</v>
      </c>
      <c r="B1010">
        <v>2857</v>
      </c>
      <c r="C1010" t="s">
        <v>23</v>
      </c>
      <c r="D1010" t="s">
        <v>34</v>
      </c>
      <c r="E1010" t="s">
        <v>25</v>
      </c>
      <c r="F1010">
        <v>6</v>
      </c>
      <c r="G1010">
        <v>8820</v>
      </c>
      <c r="H1010">
        <v>2288.2607999999996</v>
      </c>
      <c r="K1010" t="str">
        <f t="shared" si="45"/>
        <v>2.5%</v>
      </c>
      <c r="L1010" t="str">
        <f t="shared" si="46"/>
        <v>Need Improvement</v>
      </c>
      <c r="M1010" t="b">
        <f>TRUE()</f>
        <v>1</v>
      </c>
      <c r="N1010" t="b">
        <f>FALSE()</f>
        <v>0</v>
      </c>
      <c r="O1010" s="18" t="b">
        <f t="shared" si="47"/>
        <v>0</v>
      </c>
    </row>
    <row r="1011" spans="1:15" x14ac:dyDescent="0.35">
      <c r="A1011">
        <v>41340</v>
      </c>
      <c r="B1011">
        <v>2493</v>
      </c>
      <c r="C1011" t="s">
        <v>27</v>
      </c>
      <c r="D1011" t="s">
        <v>34</v>
      </c>
      <c r="E1011" t="s">
        <v>29</v>
      </c>
      <c r="F1011">
        <v>6</v>
      </c>
      <c r="G1011">
        <v>6624</v>
      </c>
      <c r="H1011">
        <v>2715.84</v>
      </c>
      <c r="K1011" t="str">
        <f t="shared" si="45"/>
        <v>2.5%</v>
      </c>
      <c r="L1011" t="str">
        <f t="shared" si="46"/>
        <v>Need Improvement</v>
      </c>
      <c r="M1011" t="b">
        <f>TRUE()</f>
        <v>1</v>
      </c>
      <c r="N1011" t="b">
        <f>FALSE()</f>
        <v>0</v>
      </c>
      <c r="O1011" s="18" t="b">
        <f t="shared" si="47"/>
        <v>0</v>
      </c>
    </row>
    <row r="1012" spans="1:15" x14ac:dyDescent="0.35">
      <c r="A1012">
        <v>41341</v>
      </c>
      <c r="B1012">
        <v>2858</v>
      </c>
      <c r="C1012" t="s">
        <v>26</v>
      </c>
      <c r="D1012" t="s">
        <v>34</v>
      </c>
      <c r="E1012" t="s">
        <v>25</v>
      </c>
      <c r="F1012">
        <v>6</v>
      </c>
      <c r="G1012">
        <v>12915</v>
      </c>
      <c r="H1012">
        <v>1046.1150000000002</v>
      </c>
      <c r="K1012" t="str">
        <f t="shared" si="45"/>
        <v>5%</v>
      </c>
      <c r="L1012" t="str">
        <f t="shared" si="46"/>
        <v>Good</v>
      </c>
      <c r="M1012" t="b">
        <f>TRUE()</f>
        <v>1</v>
      </c>
      <c r="N1012" t="b">
        <f>FALSE()</f>
        <v>0</v>
      </c>
      <c r="O1012" s="18" t="b">
        <f t="shared" si="47"/>
        <v>0</v>
      </c>
    </row>
    <row r="1013" spans="1:15" x14ac:dyDescent="0.35">
      <c r="A1013">
        <v>41342</v>
      </c>
      <c r="B1013">
        <v>2494</v>
      </c>
      <c r="C1013" t="s">
        <v>23</v>
      </c>
      <c r="D1013" t="s">
        <v>34</v>
      </c>
      <c r="E1013" t="s">
        <v>29</v>
      </c>
      <c r="F1013">
        <v>9</v>
      </c>
      <c r="G1013">
        <v>2358</v>
      </c>
      <c r="H1013">
        <v>3220.0847999999996</v>
      </c>
      <c r="K1013" t="str">
        <f t="shared" si="45"/>
        <v>1.5%</v>
      </c>
      <c r="L1013" t="str">
        <f t="shared" si="46"/>
        <v>Need Improvement</v>
      </c>
      <c r="M1013" t="b">
        <f>TRUE()</f>
        <v>1</v>
      </c>
      <c r="N1013" t="b">
        <f>FALSE()</f>
        <v>0</v>
      </c>
      <c r="O1013" s="18" t="b">
        <f t="shared" si="47"/>
        <v>0</v>
      </c>
    </row>
    <row r="1014" spans="1:15" x14ac:dyDescent="0.35">
      <c r="A1014">
        <v>41343</v>
      </c>
      <c r="B1014">
        <v>2859</v>
      </c>
      <c r="C1014" t="s">
        <v>27</v>
      </c>
      <c r="D1014" t="s">
        <v>34</v>
      </c>
      <c r="E1014" t="s">
        <v>28</v>
      </c>
      <c r="F1014">
        <v>8</v>
      </c>
      <c r="G1014">
        <v>2544</v>
      </c>
      <c r="H1014">
        <v>3075.1872000000003</v>
      </c>
      <c r="K1014" t="str">
        <f t="shared" si="45"/>
        <v>1.5%</v>
      </c>
      <c r="L1014" t="str">
        <f t="shared" si="46"/>
        <v>Need Improvement</v>
      </c>
      <c r="M1014" t="b">
        <f>TRUE()</f>
        <v>1</v>
      </c>
      <c r="N1014" t="b">
        <f>FALSE()</f>
        <v>0</v>
      </c>
      <c r="O1014" s="18" t="b">
        <f t="shared" si="47"/>
        <v>0</v>
      </c>
    </row>
    <row r="1015" spans="1:15" x14ac:dyDescent="0.35">
      <c r="A1015">
        <v>41344</v>
      </c>
      <c r="B1015">
        <v>2495</v>
      </c>
      <c r="C1015" t="s">
        <v>26</v>
      </c>
      <c r="D1015" t="s">
        <v>34</v>
      </c>
      <c r="E1015" t="s">
        <v>29</v>
      </c>
      <c r="F1015">
        <v>6</v>
      </c>
      <c r="G1015">
        <v>9585</v>
      </c>
      <c r="H1015">
        <v>827.18550000000005</v>
      </c>
      <c r="K1015" t="str">
        <f t="shared" si="45"/>
        <v>2.5%</v>
      </c>
      <c r="L1015" t="str">
        <f t="shared" si="46"/>
        <v>Need Improvement</v>
      </c>
      <c r="M1015" t="b">
        <f>TRUE()</f>
        <v>1</v>
      </c>
      <c r="N1015" t="b">
        <f>FALSE()</f>
        <v>0</v>
      </c>
      <c r="O1015" s="18" t="b">
        <f t="shared" si="47"/>
        <v>0</v>
      </c>
    </row>
    <row r="1016" spans="1:15" x14ac:dyDescent="0.35">
      <c r="A1016">
        <v>41345</v>
      </c>
      <c r="B1016">
        <v>2860</v>
      </c>
      <c r="C1016" t="s">
        <v>23</v>
      </c>
      <c r="D1016" t="s">
        <v>34</v>
      </c>
      <c r="E1016" t="s">
        <v>28</v>
      </c>
      <c r="F1016">
        <v>8</v>
      </c>
      <c r="G1016">
        <v>1668</v>
      </c>
      <c r="H1016">
        <v>3338.5019999999995</v>
      </c>
      <c r="K1016" t="str">
        <f t="shared" si="45"/>
        <v>1.5%</v>
      </c>
      <c r="L1016" t="str">
        <f t="shared" si="46"/>
        <v>Need Improvement</v>
      </c>
      <c r="M1016" t="b">
        <f>TRUE()</f>
        <v>1</v>
      </c>
      <c r="N1016" t="b">
        <f>FALSE()</f>
        <v>0</v>
      </c>
      <c r="O1016" s="18" t="b">
        <f t="shared" si="47"/>
        <v>0</v>
      </c>
    </row>
    <row r="1017" spans="1:15" x14ac:dyDescent="0.35">
      <c r="A1017">
        <v>41346</v>
      </c>
      <c r="B1017">
        <v>2496</v>
      </c>
      <c r="C1017" t="s">
        <v>27</v>
      </c>
      <c r="D1017" t="s">
        <v>34</v>
      </c>
      <c r="E1017" t="s">
        <v>25</v>
      </c>
      <c r="F1017">
        <v>9</v>
      </c>
      <c r="G1017">
        <v>7398</v>
      </c>
      <c r="H1017">
        <v>729.62774999999999</v>
      </c>
      <c r="K1017" t="str">
        <f t="shared" si="45"/>
        <v>2.5%</v>
      </c>
      <c r="L1017" t="str">
        <f t="shared" si="46"/>
        <v>Need Improvement</v>
      </c>
      <c r="M1017" t="b">
        <f>TRUE()</f>
        <v>1</v>
      </c>
      <c r="N1017" t="b">
        <f>FALSE()</f>
        <v>0</v>
      </c>
      <c r="O1017" s="18" t="b">
        <f t="shared" si="47"/>
        <v>0</v>
      </c>
    </row>
    <row r="1018" spans="1:15" x14ac:dyDescent="0.35">
      <c r="A1018">
        <v>41347</v>
      </c>
      <c r="B1018">
        <v>2861</v>
      </c>
      <c r="C1018" t="s">
        <v>26</v>
      </c>
      <c r="D1018" t="s">
        <v>34</v>
      </c>
      <c r="E1018" t="s">
        <v>28</v>
      </c>
      <c r="F1018">
        <v>8</v>
      </c>
      <c r="G1018">
        <v>7848</v>
      </c>
      <c r="H1018">
        <v>3290.6664000000001</v>
      </c>
      <c r="K1018" t="str">
        <f t="shared" si="45"/>
        <v>2.5%</v>
      </c>
      <c r="L1018" t="str">
        <f t="shared" si="46"/>
        <v>Need Improvement</v>
      </c>
      <c r="M1018" t="b">
        <f>TRUE()</f>
        <v>1</v>
      </c>
      <c r="N1018" t="b">
        <f>FALSE()</f>
        <v>0</v>
      </c>
      <c r="O1018" s="18" t="b">
        <f t="shared" si="47"/>
        <v>0</v>
      </c>
    </row>
    <row r="1019" spans="1:15" x14ac:dyDescent="0.35">
      <c r="A1019">
        <v>41348</v>
      </c>
      <c r="B1019">
        <v>2497</v>
      </c>
      <c r="C1019" t="s">
        <v>23</v>
      </c>
      <c r="D1019" t="s">
        <v>34</v>
      </c>
      <c r="E1019" t="s">
        <v>25</v>
      </c>
      <c r="F1019">
        <v>7</v>
      </c>
      <c r="G1019">
        <v>2063.25</v>
      </c>
      <c r="H1019">
        <v>1351.8413999999998</v>
      </c>
      <c r="K1019" t="str">
        <f t="shared" si="45"/>
        <v>1.5%</v>
      </c>
      <c r="L1019" t="str">
        <f t="shared" si="46"/>
        <v>Need Improvement</v>
      </c>
      <c r="M1019" t="b">
        <f>TRUE()</f>
        <v>1</v>
      </c>
      <c r="N1019" t="b">
        <f>FALSE()</f>
        <v>0</v>
      </c>
      <c r="O1019" s="18" t="b">
        <f t="shared" si="47"/>
        <v>0</v>
      </c>
    </row>
    <row r="1020" spans="1:15" x14ac:dyDescent="0.35">
      <c r="A1020">
        <v>41349</v>
      </c>
      <c r="B1020">
        <v>2862</v>
      </c>
      <c r="C1020" t="s">
        <v>27</v>
      </c>
      <c r="D1020" t="s">
        <v>34</v>
      </c>
      <c r="E1020" t="s">
        <v>29</v>
      </c>
      <c r="F1020">
        <v>8</v>
      </c>
      <c r="G1020">
        <v>8192</v>
      </c>
      <c r="H1020">
        <v>3385.7536</v>
      </c>
      <c r="K1020" t="str">
        <f t="shared" si="45"/>
        <v>2.5%</v>
      </c>
      <c r="L1020" t="str">
        <f t="shared" si="46"/>
        <v>Need Improvement</v>
      </c>
      <c r="M1020" t="b">
        <f>TRUE()</f>
        <v>1</v>
      </c>
      <c r="N1020" t="b">
        <f>FALSE()</f>
        <v>0</v>
      </c>
      <c r="O1020" s="18" t="b">
        <f t="shared" si="47"/>
        <v>0</v>
      </c>
    </row>
    <row r="1021" spans="1:15" x14ac:dyDescent="0.35">
      <c r="A1021">
        <v>41350</v>
      </c>
      <c r="B1021">
        <v>2498</v>
      </c>
      <c r="C1021" t="s">
        <v>26</v>
      </c>
      <c r="D1021" t="s">
        <v>34</v>
      </c>
      <c r="E1021" t="s">
        <v>25</v>
      </c>
      <c r="F1021">
        <v>6</v>
      </c>
      <c r="G1021">
        <v>1764</v>
      </c>
      <c r="H1021">
        <v>2071.2888000000003</v>
      </c>
      <c r="K1021" t="str">
        <f t="shared" si="45"/>
        <v>1.5%</v>
      </c>
      <c r="L1021" t="str">
        <f t="shared" si="46"/>
        <v>Need Improvement</v>
      </c>
      <c r="M1021" t="b">
        <f>TRUE()</f>
        <v>1</v>
      </c>
      <c r="N1021" t="b">
        <f>FALSE()</f>
        <v>0</v>
      </c>
      <c r="O1021" s="18" t="b">
        <f t="shared" si="47"/>
        <v>0</v>
      </c>
    </row>
    <row r="1022" spans="1:15" x14ac:dyDescent="0.35">
      <c r="A1022">
        <v>41351</v>
      </c>
      <c r="B1022">
        <v>2863</v>
      </c>
      <c r="C1022" t="s">
        <v>23</v>
      </c>
      <c r="D1022" t="s">
        <v>34</v>
      </c>
      <c r="E1022" t="s">
        <v>29</v>
      </c>
      <c r="F1022">
        <v>8</v>
      </c>
      <c r="G1022">
        <v>4224</v>
      </c>
      <c r="H1022">
        <v>3279.9360000000001</v>
      </c>
      <c r="K1022" t="str">
        <f t="shared" si="45"/>
        <v>1.5%</v>
      </c>
      <c r="L1022" t="str">
        <f t="shared" si="46"/>
        <v>Need Improvement</v>
      </c>
      <c r="M1022" t="b">
        <f>TRUE()</f>
        <v>1</v>
      </c>
      <c r="N1022" t="b">
        <f>FALSE()</f>
        <v>0</v>
      </c>
      <c r="O1022" s="18" t="b">
        <f t="shared" si="47"/>
        <v>0</v>
      </c>
    </row>
    <row r="1023" spans="1:15" x14ac:dyDescent="0.35">
      <c r="A1023">
        <v>41352</v>
      </c>
      <c r="B1023">
        <v>2499</v>
      </c>
      <c r="C1023" t="s">
        <v>27</v>
      </c>
      <c r="D1023" t="s">
        <v>34</v>
      </c>
      <c r="E1023" t="s">
        <v>28</v>
      </c>
      <c r="F1023">
        <v>8</v>
      </c>
      <c r="G1023">
        <v>7776</v>
      </c>
      <c r="H1023">
        <v>1168.7327999999998</v>
      </c>
      <c r="K1023" t="str">
        <f t="shared" si="45"/>
        <v>2.5%</v>
      </c>
      <c r="L1023" t="str">
        <f t="shared" si="46"/>
        <v>Need Improvement</v>
      </c>
      <c r="M1023" t="b">
        <f>TRUE()</f>
        <v>1</v>
      </c>
      <c r="N1023" t="b">
        <f>FALSE()</f>
        <v>0</v>
      </c>
      <c r="O1023" s="18" t="b">
        <f t="shared" si="47"/>
        <v>0</v>
      </c>
    </row>
    <row r="1024" spans="1:15" x14ac:dyDescent="0.35">
      <c r="A1024">
        <v>41353</v>
      </c>
      <c r="B1024">
        <v>2864</v>
      </c>
      <c r="C1024" t="s">
        <v>26</v>
      </c>
      <c r="D1024" t="s">
        <v>34</v>
      </c>
      <c r="E1024" t="s">
        <v>29</v>
      </c>
      <c r="F1024">
        <v>7</v>
      </c>
      <c r="G1024">
        <v>7938</v>
      </c>
      <c r="H1024">
        <v>887.26994999999988</v>
      </c>
      <c r="K1024" t="str">
        <f t="shared" si="45"/>
        <v>2.5%</v>
      </c>
      <c r="L1024" t="str">
        <f t="shared" si="46"/>
        <v>Need Improvement</v>
      </c>
      <c r="M1024" t="b">
        <f>TRUE()</f>
        <v>1</v>
      </c>
      <c r="N1024" t="b">
        <f>FALSE()</f>
        <v>0</v>
      </c>
      <c r="O1024" s="18" t="b">
        <f t="shared" si="47"/>
        <v>0</v>
      </c>
    </row>
    <row r="1025" spans="1:15" x14ac:dyDescent="0.35">
      <c r="A1025">
        <v>41354</v>
      </c>
      <c r="B1025">
        <v>2500</v>
      </c>
      <c r="C1025" t="s">
        <v>23</v>
      </c>
      <c r="D1025" t="s">
        <v>34</v>
      </c>
      <c r="E1025" t="s">
        <v>28</v>
      </c>
      <c r="F1025">
        <v>8</v>
      </c>
      <c r="G1025">
        <v>3696</v>
      </c>
      <c r="H1025">
        <v>1456.2240000000002</v>
      </c>
      <c r="K1025" t="str">
        <f t="shared" si="45"/>
        <v>1.5%</v>
      </c>
      <c r="L1025" t="str">
        <f t="shared" si="46"/>
        <v>Need Improvement</v>
      </c>
      <c r="M1025" t="b">
        <f>TRUE()</f>
        <v>1</v>
      </c>
      <c r="N1025" t="b">
        <f>FALSE()</f>
        <v>0</v>
      </c>
      <c r="O1025" s="18" t="b">
        <f t="shared" si="47"/>
        <v>0</v>
      </c>
    </row>
    <row r="1026" spans="1:15" x14ac:dyDescent="0.35">
      <c r="A1026">
        <v>41355</v>
      </c>
      <c r="B1026">
        <v>2865</v>
      </c>
      <c r="C1026" t="s">
        <v>27</v>
      </c>
      <c r="D1026" t="s">
        <v>34</v>
      </c>
      <c r="E1026" t="s">
        <v>25</v>
      </c>
      <c r="F1026">
        <v>9</v>
      </c>
      <c r="G1026">
        <v>7398</v>
      </c>
      <c r="H1026">
        <v>3510.5976000000001</v>
      </c>
      <c r="K1026" t="str">
        <f t="shared" si="45"/>
        <v>2.5%</v>
      </c>
      <c r="L1026" t="str">
        <f t="shared" si="46"/>
        <v>Need Improvement</v>
      </c>
      <c r="M1026" t="b">
        <f>TRUE()</f>
        <v>1</v>
      </c>
      <c r="N1026" t="b">
        <f>FALSE()</f>
        <v>0</v>
      </c>
      <c r="O1026" s="18" t="b">
        <f t="shared" si="47"/>
        <v>0</v>
      </c>
    </row>
    <row r="1027" spans="1:15" x14ac:dyDescent="0.35">
      <c r="A1027">
        <v>41356</v>
      </c>
      <c r="B1027">
        <v>2501</v>
      </c>
      <c r="C1027" t="s">
        <v>26</v>
      </c>
      <c r="D1027" t="s">
        <v>34</v>
      </c>
      <c r="E1027" t="s">
        <v>28</v>
      </c>
      <c r="F1027">
        <v>9</v>
      </c>
      <c r="G1027">
        <v>14377.5</v>
      </c>
      <c r="H1027">
        <v>4574.9204999999993</v>
      </c>
      <c r="K1027" t="str">
        <f t="shared" ref="K1027:K1090" si="48">IF(G1027&gt;10000,"5%",IF(AND(G1027&gt;=5000,G1027&lt;10000),"2.5%","1.5%"))</f>
        <v>5%</v>
      </c>
      <c r="L1027" t="str">
        <f t="shared" ref="L1027:L1090" si="49">IF(OR(G1027&gt;10000,H1027&gt;=5000),"Good","Need Improvement")</f>
        <v>Good</v>
      </c>
      <c r="M1027" t="b">
        <f>TRUE()</f>
        <v>1</v>
      </c>
      <c r="N1027" t="b">
        <f>FALSE()</f>
        <v>0</v>
      </c>
      <c r="O1027" s="18" t="b">
        <f t="shared" ref="O1027:O1090" si="50">NOT(M1027)</f>
        <v>0</v>
      </c>
    </row>
    <row r="1028" spans="1:15" x14ac:dyDescent="0.35">
      <c r="A1028">
        <v>41357</v>
      </c>
      <c r="B1028">
        <v>2866</v>
      </c>
      <c r="C1028" t="s">
        <v>23</v>
      </c>
      <c r="D1028" t="s">
        <v>34</v>
      </c>
      <c r="E1028" t="s">
        <v>25</v>
      </c>
      <c r="F1028">
        <v>9</v>
      </c>
      <c r="G1028">
        <v>4770</v>
      </c>
      <c r="H1028">
        <v>1554.0659999999998</v>
      </c>
      <c r="K1028" t="str">
        <f t="shared" si="48"/>
        <v>1.5%</v>
      </c>
      <c r="L1028" t="str">
        <f t="shared" si="49"/>
        <v>Need Improvement</v>
      </c>
      <c r="M1028" t="b">
        <f>TRUE()</f>
        <v>1</v>
      </c>
      <c r="N1028" t="b">
        <f>FALSE()</f>
        <v>0</v>
      </c>
      <c r="O1028" s="18" t="b">
        <f t="shared" si="50"/>
        <v>0</v>
      </c>
    </row>
    <row r="1029" spans="1:15" x14ac:dyDescent="0.35">
      <c r="A1029">
        <v>41358</v>
      </c>
      <c r="B1029">
        <v>2502</v>
      </c>
      <c r="C1029" t="s">
        <v>27</v>
      </c>
      <c r="D1029" t="s">
        <v>34</v>
      </c>
      <c r="E1029" t="s">
        <v>29</v>
      </c>
      <c r="F1029">
        <v>10</v>
      </c>
      <c r="G1029">
        <v>11400</v>
      </c>
      <c r="H1029">
        <v>3393.5519999999997</v>
      </c>
      <c r="K1029" t="str">
        <f t="shared" si="48"/>
        <v>5%</v>
      </c>
      <c r="L1029" t="str">
        <f t="shared" si="49"/>
        <v>Good</v>
      </c>
      <c r="M1029" t="b">
        <f>TRUE()</f>
        <v>1</v>
      </c>
      <c r="N1029" t="b">
        <f>FALSE()</f>
        <v>0</v>
      </c>
      <c r="O1029" s="18" t="b">
        <f t="shared" si="50"/>
        <v>0</v>
      </c>
    </row>
    <row r="1030" spans="1:15" x14ac:dyDescent="0.35">
      <c r="A1030">
        <v>41359</v>
      </c>
      <c r="B1030">
        <v>2867</v>
      </c>
      <c r="C1030" t="s">
        <v>26</v>
      </c>
      <c r="D1030" t="s">
        <v>34</v>
      </c>
      <c r="E1030" t="s">
        <v>25</v>
      </c>
      <c r="F1030">
        <v>7</v>
      </c>
      <c r="G1030">
        <v>10962</v>
      </c>
      <c r="H1030">
        <v>936.7029</v>
      </c>
      <c r="K1030" t="str">
        <f t="shared" si="48"/>
        <v>5%</v>
      </c>
      <c r="L1030" t="str">
        <f t="shared" si="49"/>
        <v>Good</v>
      </c>
      <c r="M1030" t="b">
        <f>TRUE()</f>
        <v>1</v>
      </c>
      <c r="N1030" t="b">
        <f>FALSE()</f>
        <v>0</v>
      </c>
      <c r="O1030" s="18" t="b">
        <f t="shared" si="50"/>
        <v>0</v>
      </c>
    </row>
    <row r="1031" spans="1:15" x14ac:dyDescent="0.35">
      <c r="A1031">
        <v>41360</v>
      </c>
      <c r="B1031">
        <v>2503</v>
      </c>
      <c r="C1031" t="s">
        <v>23</v>
      </c>
      <c r="D1031" t="s">
        <v>34</v>
      </c>
      <c r="E1031" t="s">
        <v>29</v>
      </c>
      <c r="F1031">
        <v>10</v>
      </c>
      <c r="G1031">
        <v>3870</v>
      </c>
      <c r="H1031">
        <v>3277.116</v>
      </c>
      <c r="K1031" t="str">
        <f t="shared" si="48"/>
        <v>1.5%</v>
      </c>
      <c r="L1031" t="str">
        <f t="shared" si="49"/>
        <v>Need Improvement</v>
      </c>
      <c r="M1031" t="b">
        <f>TRUE()</f>
        <v>1</v>
      </c>
      <c r="N1031" t="b">
        <f>FALSE()</f>
        <v>0</v>
      </c>
      <c r="O1031" s="18" t="b">
        <f t="shared" si="50"/>
        <v>0</v>
      </c>
    </row>
    <row r="1032" spans="1:15" x14ac:dyDescent="0.35">
      <c r="A1032">
        <v>41361</v>
      </c>
      <c r="B1032">
        <v>2868</v>
      </c>
      <c r="C1032" t="s">
        <v>27</v>
      </c>
      <c r="D1032" t="s">
        <v>34</v>
      </c>
      <c r="E1032" t="s">
        <v>28</v>
      </c>
      <c r="F1032">
        <v>6</v>
      </c>
      <c r="G1032">
        <v>2520</v>
      </c>
      <c r="H1032">
        <v>2804.7599999999998</v>
      </c>
      <c r="K1032" t="str">
        <f t="shared" si="48"/>
        <v>1.5%</v>
      </c>
      <c r="L1032" t="str">
        <f t="shared" si="49"/>
        <v>Need Improvement</v>
      </c>
      <c r="M1032" t="b">
        <f>TRUE()</f>
        <v>1</v>
      </c>
      <c r="N1032" t="b">
        <f>FALSE()</f>
        <v>0</v>
      </c>
      <c r="O1032" s="18" t="b">
        <f t="shared" si="50"/>
        <v>0</v>
      </c>
    </row>
    <row r="1033" spans="1:15" x14ac:dyDescent="0.35">
      <c r="A1033">
        <v>41362</v>
      </c>
      <c r="B1033">
        <v>2504</v>
      </c>
      <c r="C1033" t="s">
        <v>26</v>
      </c>
      <c r="D1033" t="s">
        <v>34</v>
      </c>
      <c r="E1033" t="s">
        <v>29</v>
      </c>
      <c r="F1033">
        <v>8</v>
      </c>
      <c r="G1033">
        <v>4248</v>
      </c>
      <c r="H1033">
        <v>4709.9699999999993</v>
      </c>
      <c r="K1033" t="str">
        <f t="shared" si="48"/>
        <v>1.5%</v>
      </c>
      <c r="L1033" t="str">
        <f t="shared" si="49"/>
        <v>Need Improvement</v>
      </c>
      <c r="M1033" t="b">
        <f>TRUE()</f>
        <v>1</v>
      </c>
      <c r="N1033" t="b">
        <f>FALSE()</f>
        <v>0</v>
      </c>
      <c r="O1033" s="18" t="b">
        <f t="shared" si="50"/>
        <v>0</v>
      </c>
    </row>
    <row r="1034" spans="1:15" x14ac:dyDescent="0.35">
      <c r="A1034">
        <v>41363</v>
      </c>
      <c r="B1034">
        <v>2869</v>
      </c>
      <c r="C1034" t="s">
        <v>23</v>
      </c>
      <c r="D1034" t="s">
        <v>34</v>
      </c>
      <c r="E1034" t="s">
        <v>28</v>
      </c>
      <c r="F1034">
        <v>9</v>
      </c>
      <c r="G1034">
        <v>8640</v>
      </c>
      <c r="H1034">
        <v>1875.3119999999999</v>
      </c>
      <c r="K1034" t="str">
        <f t="shared" si="48"/>
        <v>2.5%</v>
      </c>
      <c r="L1034" t="str">
        <f t="shared" si="49"/>
        <v>Need Improvement</v>
      </c>
      <c r="M1034" t="b">
        <f>TRUE()</f>
        <v>1</v>
      </c>
      <c r="N1034" t="b">
        <f>FALSE()</f>
        <v>0</v>
      </c>
      <c r="O1034" s="18" t="b">
        <f t="shared" si="50"/>
        <v>0</v>
      </c>
    </row>
    <row r="1035" spans="1:15" x14ac:dyDescent="0.35">
      <c r="A1035">
        <v>41364</v>
      </c>
      <c r="B1035">
        <v>2505</v>
      </c>
      <c r="C1035" t="s">
        <v>27</v>
      </c>
      <c r="D1035" t="s">
        <v>34</v>
      </c>
      <c r="E1035" t="s">
        <v>25</v>
      </c>
      <c r="F1035">
        <v>10</v>
      </c>
      <c r="G1035">
        <v>10240</v>
      </c>
      <c r="H1035">
        <v>3927.04</v>
      </c>
      <c r="K1035" t="str">
        <f t="shared" si="48"/>
        <v>5%</v>
      </c>
      <c r="L1035" t="str">
        <f t="shared" si="49"/>
        <v>Good</v>
      </c>
      <c r="M1035" t="b">
        <f>TRUE()</f>
        <v>1</v>
      </c>
      <c r="N1035" t="b">
        <f>FALSE()</f>
        <v>0</v>
      </c>
      <c r="O1035" s="18" t="b">
        <f t="shared" si="50"/>
        <v>0</v>
      </c>
    </row>
    <row r="1036" spans="1:15" x14ac:dyDescent="0.35">
      <c r="A1036">
        <v>41365</v>
      </c>
      <c r="B1036">
        <v>2870</v>
      </c>
      <c r="C1036" t="s">
        <v>26</v>
      </c>
      <c r="D1036" t="s">
        <v>34</v>
      </c>
      <c r="E1036" t="s">
        <v>28</v>
      </c>
      <c r="F1036">
        <v>10</v>
      </c>
      <c r="G1036">
        <v>8640</v>
      </c>
      <c r="H1036">
        <v>2881.0079999999998</v>
      </c>
      <c r="K1036" t="str">
        <f t="shared" si="48"/>
        <v>2.5%</v>
      </c>
      <c r="L1036" t="str">
        <f t="shared" si="49"/>
        <v>Need Improvement</v>
      </c>
      <c r="M1036" t="b">
        <f>TRUE()</f>
        <v>1</v>
      </c>
      <c r="N1036" t="b">
        <f>FALSE()</f>
        <v>0</v>
      </c>
      <c r="O1036" s="18" t="b">
        <f t="shared" si="50"/>
        <v>0</v>
      </c>
    </row>
    <row r="1037" spans="1:15" x14ac:dyDescent="0.35">
      <c r="A1037">
        <v>41366</v>
      </c>
      <c r="B1037">
        <v>2506</v>
      </c>
      <c r="C1037" t="s">
        <v>23</v>
      </c>
      <c r="D1037" t="s">
        <v>34</v>
      </c>
      <c r="E1037" t="s">
        <v>25</v>
      </c>
      <c r="F1037">
        <v>10</v>
      </c>
      <c r="G1037">
        <v>2340</v>
      </c>
      <c r="H1037">
        <v>3684.33</v>
      </c>
      <c r="K1037" t="str">
        <f t="shared" si="48"/>
        <v>1.5%</v>
      </c>
      <c r="L1037" t="str">
        <f t="shared" si="49"/>
        <v>Need Improvement</v>
      </c>
      <c r="M1037" t="b">
        <f>TRUE()</f>
        <v>1</v>
      </c>
      <c r="N1037" t="b">
        <f>FALSE()</f>
        <v>0</v>
      </c>
      <c r="O1037" s="18" t="b">
        <f t="shared" si="50"/>
        <v>0</v>
      </c>
    </row>
    <row r="1038" spans="1:15" x14ac:dyDescent="0.35">
      <c r="A1038">
        <v>41367</v>
      </c>
      <c r="B1038">
        <v>2871</v>
      </c>
      <c r="C1038" t="s">
        <v>27</v>
      </c>
      <c r="D1038" t="s">
        <v>34</v>
      </c>
      <c r="E1038" t="s">
        <v>29</v>
      </c>
      <c r="F1038">
        <v>6</v>
      </c>
      <c r="G1038">
        <v>11070</v>
      </c>
      <c r="H1038">
        <v>2114.8128000000002</v>
      </c>
      <c r="K1038" t="str">
        <f t="shared" si="48"/>
        <v>5%</v>
      </c>
      <c r="L1038" t="str">
        <f t="shared" si="49"/>
        <v>Good</v>
      </c>
      <c r="M1038" t="b">
        <f>TRUE()</f>
        <v>1</v>
      </c>
      <c r="N1038" t="b">
        <f>FALSE()</f>
        <v>0</v>
      </c>
      <c r="O1038" s="18" t="b">
        <f t="shared" si="50"/>
        <v>0</v>
      </c>
    </row>
    <row r="1039" spans="1:15" x14ac:dyDescent="0.35">
      <c r="A1039">
        <v>41368</v>
      </c>
      <c r="B1039">
        <v>2507</v>
      </c>
      <c r="C1039" t="s">
        <v>26</v>
      </c>
      <c r="D1039" t="s">
        <v>34</v>
      </c>
      <c r="E1039" t="s">
        <v>25</v>
      </c>
      <c r="F1039">
        <v>8</v>
      </c>
      <c r="G1039">
        <v>6768</v>
      </c>
      <c r="H1039">
        <v>3277.5168000000003</v>
      </c>
      <c r="K1039" t="str">
        <f t="shared" si="48"/>
        <v>2.5%</v>
      </c>
      <c r="L1039" t="str">
        <f t="shared" si="49"/>
        <v>Need Improvement</v>
      </c>
      <c r="M1039" t="b">
        <f>TRUE()</f>
        <v>1</v>
      </c>
      <c r="N1039" t="b">
        <f>FALSE()</f>
        <v>0</v>
      </c>
      <c r="O1039" s="18" t="b">
        <f t="shared" si="50"/>
        <v>0</v>
      </c>
    </row>
    <row r="1040" spans="1:15" x14ac:dyDescent="0.35">
      <c r="A1040">
        <v>41369</v>
      </c>
      <c r="B1040">
        <v>2872</v>
      </c>
      <c r="C1040" t="s">
        <v>23</v>
      </c>
      <c r="D1040" t="s">
        <v>34</v>
      </c>
      <c r="E1040" t="s">
        <v>29</v>
      </c>
      <c r="F1040">
        <v>6</v>
      </c>
      <c r="G1040">
        <v>7222.5</v>
      </c>
      <c r="H1040">
        <v>529.26480000000004</v>
      </c>
      <c r="K1040" t="str">
        <f t="shared" si="48"/>
        <v>2.5%</v>
      </c>
      <c r="L1040" t="str">
        <f t="shared" si="49"/>
        <v>Need Improvement</v>
      </c>
      <c r="M1040" t="b">
        <f>TRUE()</f>
        <v>1</v>
      </c>
      <c r="N1040" t="b">
        <f>FALSE()</f>
        <v>0</v>
      </c>
      <c r="O1040" s="18" t="b">
        <f t="shared" si="50"/>
        <v>0</v>
      </c>
    </row>
    <row r="1041" spans="1:15" x14ac:dyDescent="0.35">
      <c r="A1041">
        <v>41370</v>
      </c>
      <c r="B1041">
        <v>2508</v>
      </c>
      <c r="C1041" t="s">
        <v>27</v>
      </c>
      <c r="D1041" t="s">
        <v>34</v>
      </c>
      <c r="E1041" t="s">
        <v>28</v>
      </c>
      <c r="F1041">
        <v>10</v>
      </c>
      <c r="G1041">
        <v>4240</v>
      </c>
      <c r="H1041">
        <v>3751.5520000000001</v>
      </c>
      <c r="K1041" t="str">
        <f t="shared" si="48"/>
        <v>1.5%</v>
      </c>
      <c r="L1041" t="str">
        <f t="shared" si="49"/>
        <v>Need Improvement</v>
      </c>
      <c r="M1041" t="b">
        <f>TRUE()</f>
        <v>1</v>
      </c>
      <c r="N1041" t="b">
        <f>FALSE()</f>
        <v>0</v>
      </c>
      <c r="O1041" s="18" t="b">
        <f t="shared" si="50"/>
        <v>0</v>
      </c>
    </row>
    <row r="1042" spans="1:15" x14ac:dyDescent="0.35">
      <c r="A1042">
        <v>41371</v>
      </c>
      <c r="B1042">
        <v>2873</v>
      </c>
      <c r="C1042" t="s">
        <v>26</v>
      </c>
      <c r="D1042" t="s">
        <v>34</v>
      </c>
      <c r="E1042" t="s">
        <v>29</v>
      </c>
      <c r="F1042">
        <v>6</v>
      </c>
      <c r="G1042">
        <v>12330</v>
      </c>
      <c r="H1042">
        <v>3938.6952000000001</v>
      </c>
      <c r="K1042" t="str">
        <f t="shared" si="48"/>
        <v>5%</v>
      </c>
      <c r="L1042" t="str">
        <f t="shared" si="49"/>
        <v>Good</v>
      </c>
      <c r="M1042" t="b">
        <f>TRUE()</f>
        <v>1</v>
      </c>
      <c r="N1042" t="b">
        <f>FALSE()</f>
        <v>0</v>
      </c>
      <c r="O1042" s="18" t="b">
        <f t="shared" si="50"/>
        <v>0</v>
      </c>
    </row>
    <row r="1043" spans="1:15" x14ac:dyDescent="0.35">
      <c r="A1043">
        <v>41372</v>
      </c>
      <c r="B1043">
        <v>2509</v>
      </c>
      <c r="C1043" t="s">
        <v>23</v>
      </c>
      <c r="D1043" t="s">
        <v>34</v>
      </c>
      <c r="E1043" t="s">
        <v>28</v>
      </c>
      <c r="F1043">
        <v>10</v>
      </c>
      <c r="G1043">
        <v>6960</v>
      </c>
      <c r="H1043">
        <v>3035.4300000000003</v>
      </c>
      <c r="K1043" t="str">
        <f t="shared" si="48"/>
        <v>2.5%</v>
      </c>
      <c r="L1043" t="str">
        <f t="shared" si="49"/>
        <v>Need Improvement</v>
      </c>
      <c r="M1043" t="b">
        <f>TRUE()</f>
        <v>1</v>
      </c>
      <c r="N1043" t="b">
        <f>FALSE()</f>
        <v>0</v>
      </c>
      <c r="O1043" s="18" t="b">
        <f t="shared" si="50"/>
        <v>0</v>
      </c>
    </row>
    <row r="1044" spans="1:15" x14ac:dyDescent="0.35">
      <c r="A1044">
        <v>41373</v>
      </c>
      <c r="B1044">
        <v>2874</v>
      </c>
      <c r="C1044" t="s">
        <v>27</v>
      </c>
      <c r="D1044" t="s">
        <v>34</v>
      </c>
      <c r="E1044" t="s">
        <v>25</v>
      </c>
      <c r="F1044">
        <v>8</v>
      </c>
      <c r="G1044">
        <v>2952</v>
      </c>
      <c r="H1044">
        <v>3958.6320000000005</v>
      </c>
      <c r="K1044" t="str">
        <f t="shared" si="48"/>
        <v>1.5%</v>
      </c>
      <c r="L1044" t="str">
        <f t="shared" si="49"/>
        <v>Need Improvement</v>
      </c>
      <c r="M1044" t="b">
        <f>TRUE()</f>
        <v>1</v>
      </c>
      <c r="N1044" t="b">
        <f>FALSE()</f>
        <v>0</v>
      </c>
      <c r="O1044" s="18" t="b">
        <f t="shared" si="50"/>
        <v>0</v>
      </c>
    </row>
    <row r="1045" spans="1:15" x14ac:dyDescent="0.35">
      <c r="A1045">
        <v>41374</v>
      </c>
      <c r="B1045">
        <v>2510</v>
      </c>
      <c r="C1045" t="s">
        <v>26</v>
      </c>
      <c r="D1045" t="s">
        <v>34</v>
      </c>
      <c r="E1045" t="s">
        <v>28</v>
      </c>
      <c r="F1045">
        <v>7</v>
      </c>
      <c r="G1045">
        <v>2236.5</v>
      </c>
      <c r="H1045">
        <v>2497.2759000000001</v>
      </c>
      <c r="K1045" t="str">
        <f t="shared" si="48"/>
        <v>1.5%</v>
      </c>
      <c r="L1045" t="str">
        <f t="shared" si="49"/>
        <v>Need Improvement</v>
      </c>
      <c r="M1045" t="b">
        <f>TRUE()</f>
        <v>1</v>
      </c>
      <c r="N1045" t="b">
        <f>FALSE()</f>
        <v>0</v>
      </c>
      <c r="O1045" s="18" t="b">
        <f t="shared" si="50"/>
        <v>0</v>
      </c>
    </row>
    <row r="1046" spans="1:15" x14ac:dyDescent="0.35">
      <c r="A1046">
        <v>41375</v>
      </c>
      <c r="B1046">
        <v>2875</v>
      </c>
      <c r="C1046" t="s">
        <v>23</v>
      </c>
      <c r="D1046" t="s">
        <v>34</v>
      </c>
      <c r="E1046" t="s">
        <v>25</v>
      </c>
      <c r="F1046">
        <v>6</v>
      </c>
      <c r="G1046">
        <v>2160</v>
      </c>
      <c r="H1046">
        <v>3587.7599999999993</v>
      </c>
      <c r="K1046" t="str">
        <f t="shared" si="48"/>
        <v>1.5%</v>
      </c>
      <c r="L1046" t="str">
        <f t="shared" si="49"/>
        <v>Need Improvement</v>
      </c>
      <c r="M1046" t="b">
        <f>TRUE()</f>
        <v>1</v>
      </c>
      <c r="N1046" t="b">
        <f>FALSE()</f>
        <v>0</v>
      </c>
      <c r="O1046" s="18" t="b">
        <f t="shared" si="50"/>
        <v>0</v>
      </c>
    </row>
    <row r="1047" spans="1:15" x14ac:dyDescent="0.35">
      <c r="A1047">
        <v>41376</v>
      </c>
      <c r="B1047">
        <v>2511</v>
      </c>
      <c r="C1047" t="s">
        <v>27</v>
      </c>
      <c r="D1047" t="s">
        <v>34</v>
      </c>
      <c r="E1047" t="s">
        <v>29</v>
      </c>
      <c r="F1047">
        <v>9</v>
      </c>
      <c r="G1047">
        <v>2034</v>
      </c>
      <c r="H1047">
        <v>1342.0332000000001</v>
      </c>
      <c r="K1047" t="str">
        <f t="shared" si="48"/>
        <v>1.5%</v>
      </c>
      <c r="L1047" t="str">
        <f t="shared" si="49"/>
        <v>Need Improvement</v>
      </c>
      <c r="M1047" t="b">
        <f>TRUE()</f>
        <v>1</v>
      </c>
      <c r="N1047" t="b">
        <f>FALSE()</f>
        <v>0</v>
      </c>
      <c r="O1047" s="18" t="b">
        <f t="shared" si="50"/>
        <v>0</v>
      </c>
    </row>
    <row r="1048" spans="1:15" x14ac:dyDescent="0.35">
      <c r="A1048">
        <v>41377</v>
      </c>
      <c r="B1048">
        <v>2876</v>
      </c>
      <c r="C1048" t="s">
        <v>26</v>
      </c>
      <c r="D1048" t="s">
        <v>34</v>
      </c>
      <c r="E1048" t="s">
        <v>25</v>
      </c>
      <c r="F1048">
        <v>9</v>
      </c>
      <c r="G1048">
        <v>8437.5</v>
      </c>
      <c r="H1048">
        <v>3468.65625</v>
      </c>
      <c r="K1048" t="str">
        <f t="shared" si="48"/>
        <v>2.5%</v>
      </c>
      <c r="L1048" t="str">
        <f t="shared" si="49"/>
        <v>Need Improvement</v>
      </c>
      <c r="M1048" t="b">
        <f>TRUE()</f>
        <v>1</v>
      </c>
      <c r="N1048" t="b">
        <f>FALSE()</f>
        <v>0</v>
      </c>
      <c r="O1048" s="18" t="b">
        <f t="shared" si="50"/>
        <v>0</v>
      </c>
    </row>
    <row r="1049" spans="1:15" x14ac:dyDescent="0.35">
      <c r="A1049">
        <v>41378</v>
      </c>
      <c r="B1049">
        <v>2512</v>
      </c>
      <c r="C1049" t="s">
        <v>23</v>
      </c>
      <c r="D1049" t="s">
        <v>34</v>
      </c>
      <c r="E1049" t="s">
        <v>29</v>
      </c>
      <c r="F1049">
        <v>6</v>
      </c>
      <c r="G1049">
        <v>12510</v>
      </c>
      <c r="H1049">
        <v>4870.143</v>
      </c>
      <c r="K1049" t="str">
        <f t="shared" si="48"/>
        <v>5%</v>
      </c>
      <c r="L1049" t="str">
        <f t="shared" si="49"/>
        <v>Good</v>
      </c>
      <c r="M1049" t="b">
        <f>TRUE()</f>
        <v>1</v>
      </c>
      <c r="N1049" t="b">
        <f>FALSE()</f>
        <v>0</v>
      </c>
      <c r="O1049" s="18" t="b">
        <f t="shared" si="50"/>
        <v>0</v>
      </c>
    </row>
    <row r="1050" spans="1:15" x14ac:dyDescent="0.35">
      <c r="A1050">
        <v>41379</v>
      </c>
      <c r="B1050">
        <v>2877</v>
      </c>
      <c r="C1050" t="s">
        <v>27</v>
      </c>
      <c r="D1050" t="s">
        <v>34</v>
      </c>
      <c r="E1050" t="s">
        <v>28</v>
      </c>
      <c r="F1050">
        <v>6</v>
      </c>
      <c r="G1050">
        <v>7209</v>
      </c>
      <c r="H1050">
        <v>3840.9552000000003</v>
      </c>
      <c r="K1050" t="str">
        <f t="shared" si="48"/>
        <v>2.5%</v>
      </c>
      <c r="L1050" t="str">
        <f t="shared" si="49"/>
        <v>Need Improvement</v>
      </c>
      <c r="M1050" t="b">
        <f>TRUE()</f>
        <v>1</v>
      </c>
      <c r="N1050" t="b">
        <f>FALSE()</f>
        <v>0</v>
      </c>
      <c r="O1050" s="18" t="b">
        <f t="shared" si="50"/>
        <v>0</v>
      </c>
    </row>
    <row r="1051" spans="1:15" x14ac:dyDescent="0.35">
      <c r="A1051">
        <v>41380</v>
      </c>
      <c r="B1051">
        <v>2513</v>
      </c>
      <c r="C1051" t="s">
        <v>26</v>
      </c>
      <c r="D1051" t="s">
        <v>34</v>
      </c>
      <c r="E1051" t="s">
        <v>29</v>
      </c>
      <c r="F1051">
        <v>6</v>
      </c>
      <c r="G1051">
        <v>1791</v>
      </c>
      <c r="H1051">
        <v>1631.2428</v>
      </c>
      <c r="K1051" t="str">
        <f t="shared" si="48"/>
        <v>1.5%</v>
      </c>
      <c r="L1051" t="str">
        <f t="shared" si="49"/>
        <v>Need Improvement</v>
      </c>
      <c r="M1051" t="b">
        <f>TRUE()</f>
        <v>1</v>
      </c>
      <c r="N1051" t="b">
        <f>FALSE()</f>
        <v>0</v>
      </c>
      <c r="O1051" s="18" t="b">
        <f t="shared" si="50"/>
        <v>0</v>
      </c>
    </row>
    <row r="1052" spans="1:15" x14ac:dyDescent="0.35">
      <c r="A1052">
        <v>41381</v>
      </c>
      <c r="B1052">
        <v>2878</v>
      </c>
      <c r="C1052" t="s">
        <v>23</v>
      </c>
      <c r="D1052" t="s">
        <v>34</v>
      </c>
      <c r="E1052" t="s">
        <v>28</v>
      </c>
      <c r="F1052">
        <v>9</v>
      </c>
      <c r="G1052">
        <v>6264</v>
      </c>
      <c r="H1052">
        <v>1817.3951999999999</v>
      </c>
      <c r="K1052" t="str">
        <f t="shared" si="48"/>
        <v>2.5%</v>
      </c>
      <c r="L1052" t="str">
        <f t="shared" si="49"/>
        <v>Need Improvement</v>
      </c>
      <c r="M1052" t="b">
        <f>TRUE()</f>
        <v>1</v>
      </c>
      <c r="N1052" t="b">
        <f>FALSE()</f>
        <v>0</v>
      </c>
      <c r="O1052" s="18" t="b">
        <f t="shared" si="50"/>
        <v>0</v>
      </c>
    </row>
    <row r="1053" spans="1:15" x14ac:dyDescent="0.35">
      <c r="A1053">
        <v>41382</v>
      </c>
      <c r="B1053">
        <v>2514</v>
      </c>
      <c r="C1053" t="s">
        <v>27</v>
      </c>
      <c r="D1053" t="s">
        <v>34</v>
      </c>
      <c r="E1053" t="s">
        <v>25</v>
      </c>
      <c r="F1053">
        <v>8</v>
      </c>
      <c r="G1053">
        <v>2280</v>
      </c>
      <c r="H1053">
        <v>2873.4839999999995</v>
      </c>
      <c r="K1053" t="str">
        <f t="shared" si="48"/>
        <v>1.5%</v>
      </c>
      <c r="L1053" t="str">
        <f t="shared" si="49"/>
        <v>Need Improvement</v>
      </c>
      <c r="M1053" t="b">
        <f>TRUE()</f>
        <v>1</v>
      </c>
      <c r="N1053" t="b">
        <f>FALSE()</f>
        <v>0</v>
      </c>
      <c r="O1053" s="18" t="b">
        <f t="shared" si="50"/>
        <v>0</v>
      </c>
    </row>
    <row r="1054" spans="1:15" x14ac:dyDescent="0.35">
      <c r="A1054">
        <v>41383</v>
      </c>
      <c r="B1054">
        <v>2879</v>
      </c>
      <c r="C1054" t="s">
        <v>26</v>
      </c>
      <c r="D1054" t="s">
        <v>34</v>
      </c>
      <c r="E1054" t="s">
        <v>28</v>
      </c>
      <c r="F1054">
        <v>6</v>
      </c>
      <c r="G1054">
        <v>1530</v>
      </c>
      <c r="H1054">
        <v>1919.0790000000002</v>
      </c>
      <c r="K1054" t="str">
        <f t="shared" si="48"/>
        <v>1.5%</v>
      </c>
      <c r="L1054" t="str">
        <f t="shared" si="49"/>
        <v>Need Improvement</v>
      </c>
      <c r="M1054" t="b">
        <f>TRUE()</f>
        <v>1</v>
      </c>
      <c r="N1054" t="b">
        <f>FALSE()</f>
        <v>0</v>
      </c>
      <c r="O1054" s="18" t="b">
        <f t="shared" si="50"/>
        <v>0</v>
      </c>
    </row>
    <row r="1055" spans="1:15" x14ac:dyDescent="0.35">
      <c r="A1055">
        <v>41384</v>
      </c>
      <c r="B1055">
        <v>2515</v>
      </c>
      <c r="C1055" t="s">
        <v>23</v>
      </c>
      <c r="D1055" t="s">
        <v>34</v>
      </c>
      <c r="E1055" t="s">
        <v>25</v>
      </c>
      <c r="F1055">
        <v>8</v>
      </c>
      <c r="G1055">
        <v>2016</v>
      </c>
      <c r="H1055">
        <v>1384.992</v>
      </c>
      <c r="K1055" t="str">
        <f t="shared" si="48"/>
        <v>1.5%</v>
      </c>
      <c r="L1055" t="str">
        <f t="shared" si="49"/>
        <v>Need Improvement</v>
      </c>
      <c r="M1055" t="b">
        <f>TRUE()</f>
        <v>1</v>
      </c>
      <c r="N1055" t="b">
        <f>FALSE()</f>
        <v>0</v>
      </c>
      <c r="O1055" s="18" t="b">
        <f t="shared" si="50"/>
        <v>0</v>
      </c>
    </row>
    <row r="1056" spans="1:15" x14ac:dyDescent="0.35">
      <c r="A1056">
        <v>41385</v>
      </c>
      <c r="B1056">
        <v>2880</v>
      </c>
      <c r="C1056" t="s">
        <v>27</v>
      </c>
      <c r="D1056" t="s">
        <v>34</v>
      </c>
      <c r="E1056" t="s">
        <v>29</v>
      </c>
      <c r="F1056">
        <v>6</v>
      </c>
      <c r="G1056">
        <v>4302</v>
      </c>
      <c r="H1056">
        <v>2503.7640000000001</v>
      </c>
      <c r="K1056" t="str">
        <f t="shared" si="48"/>
        <v>1.5%</v>
      </c>
      <c r="L1056" t="str">
        <f t="shared" si="49"/>
        <v>Need Improvement</v>
      </c>
      <c r="M1056" t="b">
        <f>TRUE()</f>
        <v>1</v>
      </c>
      <c r="N1056" t="b">
        <f>FALSE()</f>
        <v>0</v>
      </c>
      <c r="O1056" s="18" t="b">
        <f t="shared" si="50"/>
        <v>0</v>
      </c>
    </row>
    <row r="1057" spans="1:15" x14ac:dyDescent="0.35">
      <c r="A1057">
        <v>41386</v>
      </c>
      <c r="B1057">
        <v>2516</v>
      </c>
      <c r="C1057" t="s">
        <v>26</v>
      </c>
      <c r="D1057" t="s">
        <v>34</v>
      </c>
      <c r="E1057" t="s">
        <v>25</v>
      </c>
      <c r="F1057">
        <v>10</v>
      </c>
      <c r="G1057">
        <v>11220</v>
      </c>
      <c r="H1057">
        <v>4840.0275000000001</v>
      </c>
      <c r="K1057" t="str">
        <f t="shared" si="48"/>
        <v>5%</v>
      </c>
      <c r="L1057" t="str">
        <f t="shared" si="49"/>
        <v>Good</v>
      </c>
      <c r="M1057" t="b">
        <f>TRUE()</f>
        <v>1</v>
      </c>
      <c r="N1057" t="b">
        <f>FALSE()</f>
        <v>0</v>
      </c>
      <c r="O1057" s="18" t="b">
        <f t="shared" si="50"/>
        <v>0</v>
      </c>
    </row>
    <row r="1058" spans="1:15" x14ac:dyDescent="0.35">
      <c r="A1058">
        <v>41387</v>
      </c>
      <c r="B1058">
        <v>2881</v>
      </c>
      <c r="C1058" t="s">
        <v>23</v>
      </c>
      <c r="D1058" t="s">
        <v>34</v>
      </c>
      <c r="E1058" t="s">
        <v>29</v>
      </c>
      <c r="F1058">
        <v>7</v>
      </c>
      <c r="G1058">
        <v>5922</v>
      </c>
      <c r="H1058">
        <v>2014.0722000000001</v>
      </c>
      <c r="K1058" t="str">
        <f t="shared" si="48"/>
        <v>2.5%</v>
      </c>
      <c r="L1058" t="str">
        <f t="shared" si="49"/>
        <v>Need Improvement</v>
      </c>
      <c r="M1058" t="b">
        <f>TRUE()</f>
        <v>1</v>
      </c>
      <c r="N1058" t="b">
        <f>FALSE()</f>
        <v>0</v>
      </c>
      <c r="O1058" s="18" t="b">
        <f t="shared" si="50"/>
        <v>0</v>
      </c>
    </row>
    <row r="1059" spans="1:15" x14ac:dyDescent="0.35">
      <c r="A1059">
        <v>41388</v>
      </c>
      <c r="B1059">
        <v>2517</v>
      </c>
      <c r="C1059" t="s">
        <v>27</v>
      </c>
      <c r="D1059" t="s">
        <v>34</v>
      </c>
      <c r="E1059" t="s">
        <v>28</v>
      </c>
      <c r="F1059">
        <v>9</v>
      </c>
      <c r="G1059">
        <v>6277.5</v>
      </c>
      <c r="H1059">
        <v>4457.0249999999996</v>
      </c>
      <c r="K1059" t="str">
        <f t="shared" si="48"/>
        <v>2.5%</v>
      </c>
      <c r="L1059" t="str">
        <f t="shared" si="49"/>
        <v>Need Improvement</v>
      </c>
      <c r="M1059" t="b">
        <f>TRUE()</f>
        <v>1</v>
      </c>
      <c r="N1059" t="b">
        <f>FALSE()</f>
        <v>0</v>
      </c>
      <c r="O1059" s="18" t="b">
        <f t="shared" si="50"/>
        <v>0</v>
      </c>
    </row>
    <row r="1060" spans="1:15" x14ac:dyDescent="0.35">
      <c r="A1060">
        <v>41389</v>
      </c>
      <c r="B1060">
        <v>2882</v>
      </c>
      <c r="C1060" t="s">
        <v>26</v>
      </c>
      <c r="D1060" t="s">
        <v>34</v>
      </c>
      <c r="E1060" t="s">
        <v>29</v>
      </c>
      <c r="F1060">
        <v>7</v>
      </c>
      <c r="G1060">
        <v>4158</v>
      </c>
      <c r="H1060">
        <v>1633.6782000000001</v>
      </c>
      <c r="K1060" t="str">
        <f t="shared" si="48"/>
        <v>1.5%</v>
      </c>
      <c r="L1060" t="str">
        <f t="shared" si="49"/>
        <v>Need Improvement</v>
      </c>
      <c r="M1060" t="b">
        <f>TRUE()</f>
        <v>1</v>
      </c>
      <c r="N1060" t="b">
        <f>FALSE()</f>
        <v>0</v>
      </c>
      <c r="O1060" s="18" t="b">
        <f t="shared" si="50"/>
        <v>0</v>
      </c>
    </row>
    <row r="1061" spans="1:15" x14ac:dyDescent="0.35">
      <c r="A1061">
        <v>41390</v>
      </c>
      <c r="B1061">
        <v>2518</v>
      </c>
      <c r="C1061" t="s">
        <v>23</v>
      </c>
      <c r="D1061" t="s">
        <v>34</v>
      </c>
      <c r="E1061" t="s">
        <v>28</v>
      </c>
      <c r="F1061">
        <v>6</v>
      </c>
      <c r="G1061">
        <v>7506</v>
      </c>
      <c r="H1061">
        <v>3336.6671999999999</v>
      </c>
      <c r="K1061" t="str">
        <f t="shared" si="48"/>
        <v>2.5%</v>
      </c>
      <c r="L1061" t="str">
        <f t="shared" si="49"/>
        <v>Need Improvement</v>
      </c>
      <c r="M1061" t="b">
        <f>TRUE()</f>
        <v>1</v>
      </c>
      <c r="N1061" t="b">
        <f>FALSE()</f>
        <v>0</v>
      </c>
      <c r="O1061" s="18" t="b">
        <f t="shared" si="50"/>
        <v>0</v>
      </c>
    </row>
    <row r="1062" spans="1:15" x14ac:dyDescent="0.35">
      <c r="A1062">
        <v>41391</v>
      </c>
      <c r="B1062">
        <v>2883</v>
      </c>
      <c r="C1062" t="s">
        <v>27</v>
      </c>
      <c r="D1062" t="s">
        <v>34</v>
      </c>
      <c r="E1062" t="s">
        <v>25</v>
      </c>
      <c r="F1062">
        <v>10</v>
      </c>
      <c r="G1062">
        <v>4470</v>
      </c>
      <c r="H1062">
        <v>841.25400000000002</v>
      </c>
      <c r="K1062" t="str">
        <f t="shared" si="48"/>
        <v>1.5%</v>
      </c>
      <c r="L1062" t="str">
        <f t="shared" si="49"/>
        <v>Need Improvement</v>
      </c>
      <c r="M1062" t="b">
        <f>TRUE()</f>
        <v>1</v>
      </c>
      <c r="N1062" t="b">
        <f>FALSE()</f>
        <v>0</v>
      </c>
      <c r="O1062" s="18" t="b">
        <f t="shared" si="50"/>
        <v>0</v>
      </c>
    </row>
    <row r="1063" spans="1:15" x14ac:dyDescent="0.35">
      <c r="A1063">
        <v>41392</v>
      </c>
      <c r="B1063">
        <v>2519</v>
      </c>
      <c r="C1063" t="s">
        <v>26</v>
      </c>
      <c r="D1063" t="s">
        <v>34</v>
      </c>
      <c r="E1063" t="s">
        <v>28</v>
      </c>
      <c r="F1063">
        <v>8</v>
      </c>
      <c r="G1063">
        <v>8496</v>
      </c>
      <c r="H1063">
        <v>3202.1424000000006</v>
      </c>
      <c r="K1063" t="str">
        <f t="shared" si="48"/>
        <v>2.5%</v>
      </c>
      <c r="L1063" t="str">
        <f t="shared" si="49"/>
        <v>Need Improvement</v>
      </c>
      <c r="M1063" t="b">
        <f>TRUE()</f>
        <v>1</v>
      </c>
      <c r="N1063" t="b">
        <f>FALSE()</f>
        <v>0</v>
      </c>
      <c r="O1063" s="18" t="b">
        <f t="shared" si="50"/>
        <v>0</v>
      </c>
    </row>
    <row r="1064" spans="1:15" x14ac:dyDescent="0.35">
      <c r="A1064">
        <v>41393</v>
      </c>
      <c r="B1064">
        <v>2884</v>
      </c>
      <c r="C1064" t="s">
        <v>23</v>
      </c>
      <c r="D1064" t="s">
        <v>34</v>
      </c>
      <c r="E1064" t="s">
        <v>25</v>
      </c>
      <c r="F1064">
        <v>10</v>
      </c>
      <c r="G1064">
        <v>5860</v>
      </c>
      <c r="H1064">
        <v>3559.9500000000003</v>
      </c>
      <c r="K1064" t="str">
        <f t="shared" si="48"/>
        <v>2.5%</v>
      </c>
      <c r="L1064" t="str">
        <f t="shared" si="49"/>
        <v>Need Improvement</v>
      </c>
      <c r="M1064" t="b">
        <f>TRUE()</f>
        <v>1</v>
      </c>
      <c r="N1064" t="b">
        <f>FALSE()</f>
        <v>0</v>
      </c>
      <c r="O1064" s="18" t="b">
        <f t="shared" si="50"/>
        <v>0</v>
      </c>
    </row>
    <row r="1065" spans="1:15" x14ac:dyDescent="0.35">
      <c r="A1065">
        <v>41394</v>
      </c>
      <c r="B1065">
        <v>2520</v>
      </c>
      <c r="C1065" t="s">
        <v>27</v>
      </c>
      <c r="D1065" t="s">
        <v>34</v>
      </c>
      <c r="E1065" t="s">
        <v>29</v>
      </c>
      <c r="F1065">
        <v>9</v>
      </c>
      <c r="G1065">
        <v>2821.5</v>
      </c>
      <c r="H1065">
        <v>4735.605599999999</v>
      </c>
      <c r="K1065" t="str">
        <f t="shared" si="48"/>
        <v>1.5%</v>
      </c>
      <c r="L1065" t="str">
        <f t="shared" si="49"/>
        <v>Need Improvement</v>
      </c>
      <c r="M1065" t="b">
        <f>TRUE()</f>
        <v>1</v>
      </c>
      <c r="N1065" t="b">
        <f>FALSE()</f>
        <v>0</v>
      </c>
      <c r="O1065" s="18" t="b">
        <f t="shared" si="50"/>
        <v>0</v>
      </c>
    </row>
    <row r="1066" spans="1:15" x14ac:dyDescent="0.35">
      <c r="A1066">
        <v>41395</v>
      </c>
      <c r="B1066">
        <v>2885</v>
      </c>
      <c r="C1066" t="s">
        <v>26</v>
      </c>
      <c r="D1066" t="s">
        <v>34</v>
      </c>
      <c r="E1066" t="s">
        <v>25</v>
      </c>
      <c r="F1066">
        <v>10</v>
      </c>
      <c r="G1066">
        <v>2835</v>
      </c>
      <c r="H1066">
        <v>904.36500000000001</v>
      </c>
      <c r="K1066" t="str">
        <f t="shared" si="48"/>
        <v>1.5%</v>
      </c>
      <c r="L1066" t="str">
        <f t="shared" si="49"/>
        <v>Need Improvement</v>
      </c>
      <c r="M1066" t="b">
        <f>TRUE()</f>
        <v>1</v>
      </c>
      <c r="N1066" t="b">
        <f>FALSE()</f>
        <v>0</v>
      </c>
      <c r="O1066" s="18" t="b">
        <f t="shared" si="50"/>
        <v>0</v>
      </c>
    </row>
    <row r="1067" spans="1:15" x14ac:dyDescent="0.35">
      <c r="A1067">
        <v>41396</v>
      </c>
      <c r="B1067">
        <v>2521</v>
      </c>
      <c r="C1067" t="s">
        <v>23</v>
      </c>
      <c r="D1067" t="s">
        <v>34</v>
      </c>
      <c r="E1067" t="s">
        <v>29</v>
      </c>
      <c r="F1067">
        <v>9</v>
      </c>
      <c r="G1067">
        <v>7533</v>
      </c>
      <c r="H1067">
        <v>2267.433</v>
      </c>
      <c r="K1067" t="str">
        <f t="shared" si="48"/>
        <v>2.5%</v>
      </c>
      <c r="L1067" t="str">
        <f t="shared" si="49"/>
        <v>Need Improvement</v>
      </c>
      <c r="M1067" t="b">
        <f>TRUE()</f>
        <v>1</v>
      </c>
      <c r="N1067" t="b">
        <f>FALSE()</f>
        <v>0</v>
      </c>
      <c r="O1067" s="18" t="b">
        <f t="shared" si="50"/>
        <v>0</v>
      </c>
    </row>
    <row r="1068" spans="1:15" x14ac:dyDescent="0.35">
      <c r="A1068">
        <v>41397</v>
      </c>
      <c r="B1068">
        <v>2886</v>
      </c>
      <c r="C1068" t="s">
        <v>27</v>
      </c>
      <c r="D1068" t="s">
        <v>34</v>
      </c>
      <c r="E1068" t="s">
        <v>28</v>
      </c>
      <c r="F1068">
        <v>8</v>
      </c>
      <c r="G1068">
        <v>6240</v>
      </c>
      <c r="H1068">
        <v>2210.8319999999999</v>
      </c>
      <c r="K1068" t="str">
        <f t="shared" si="48"/>
        <v>2.5%</v>
      </c>
      <c r="L1068" t="str">
        <f t="shared" si="49"/>
        <v>Need Improvement</v>
      </c>
      <c r="M1068" t="b">
        <f>TRUE()</f>
        <v>1</v>
      </c>
      <c r="N1068" t="b">
        <f>FALSE()</f>
        <v>0</v>
      </c>
      <c r="O1068" s="18" t="b">
        <f t="shared" si="50"/>
        <v>0</v>
      </c>
    </row>
    <row r="1069" spans="1:15" x14ac:dyDescent="0.35">
      <c r="A1069">
        <v>41398</v>
      </c>
      <c r="B1069">
        <v>2522</v>
      </c>
      <c r="C1069" t="s">
        <v>26</v>
      </c>
      <c r="D1069" t="s">
        <v>34</v>
      </c>
      <c r="E1069" t="s">
        <v>29</v>
      </c>
      <c r="F1069">
        <v>7</v>
      </c>
      <c r="G1069">
        <v>1974</v>
      </c>
      <c r="H1069">
        <v>2703.5904</v>
      </c>
      <c r="K1069" t="str">
        <f t="shared" si="48"/>
        <v>1.5%</v>
      </c>
      <c r="L1069" t="str">
        <f t="shared" si="49"/>
        <v>Need Improvement</v>
      </c>
      <c r="M1069" t="b">
        <f>TRUE()</f>
        <v>1</v>
      </c>
      <c r="N1069" t="b">
        <f>FALSE()</f>
        <v>0</v>
      </c>
      <c r="O1069" s="18" t="b">
        <f t="shared" si="50"/>
        <v>0</v>
      </c>
    </row>
    <row r="1070" spans="1:15" x14ac:dyDescent="0.35">
      <c r="A1070">
        <v>41399</v>
      </c>
      <c r="B1070">
        <v>2887</v>
      </c>
      <c r="C1070" t="s">
        <v>23</v>
      </c>
      <c r="D1070" t="s">
        <v>34</v>
      </c>
      <c r="E1070" t="s">
        <v>28</v>
      </c>
      <c r="F1070">
        <v>9</v>
      </c>
      <c r="G1070">
        <v>4819.5</v>
      </c>
      <c r="H1070">
        <v>3159.9855000000002</v>
      </c>
      <c r="K1070" t="str">
        <f t="shared" si="48"/>
        <v>1.5%</v>
      </c>
      <c r="L1070" t="str">
        <f t="shared" si="49"/>
        <v>Need Improvement</v>
      </c>
      <c r="M1070" t="b">
        <f>TRUE()</f>
        <v>1</v>
      </c>
      <c r="N1070" t="b">
        <f>FALSE()</f>
        <v>0</v>
      </c>
      <c r="O1070" s="18" t="b">
        <f t="shared" si="50"/>
        <v>0</v>
      </c>
    </row>
    <row r="1071" spans="1:15" x14ac:dyDescent="0.35">
      <c r="A1071">
        <v>41400</v>
      </c>
      <c r="B1071">
        <v>2523</v>
      </c>
      <c r="C1071" t="s">
        <v>27</v>
      </c>
      <c r="D1071" t="s">
        <v>34</v>
      </c>
      <c r="E1071" t="s">
        <v>25</v>
      </c>
      <c r="F1071">
        <v>8</v>
      </c>
      <c r="G1071">
        <v>6912</v>
      </c>
      <c r="H1071">
        <v>1589.2991999999999</v>
      </c>
      <c r="K1071" t="str">
        <f t="shared" si="48"/>
        <v>2.5%</v>
      </c>
      <c r="L1071" t="str">
        <f t="shared" si="49"/>
        <v>Need Improvement</v>
      </c>
      <c r="M1071" t="b">
        <f>TRUE()</f>
        <v>1</v>
      </c>
      <c r="N1071" t="b">
        <f>FALSE()</f>
        <v>0</v>
      </c>
      <c r="O1071" s="18" t="b">
        <f t="shared" si="50"/>
        <v>0</v>
      </c>
    </row>
    <row r="1072" spans="1:15" x14ac:dyDescent="0.35">
      <c r="A1072">
        <v>41401</v>
      </c>
      <c r="B1072">
        <v>2888</v>
      </c>
      <c r="C1072" t="s">
        <v>26</v>
      </c>
      <c r="D1072" t="s">
        <v>34</v>
      </c>
      <c r="E1072" t="s">
        <v>28</v>
      </c>
      <c r="F1072">
        <v>7</v>
      </c>
      <c r="G1072">
        <v>1937.25</v>
      </c>
      <c r="H1072">
        <v>1735.3885500000001</v>
      </c>
      <c r="K1072" t="str">
        <f t="shared" si="48"/>
        <v>1.5%</v>
      </c>
      <c r="L1072" t="str">
        <f t="shared" si="49"/>
        <v>Need Improvement</v>
      </c>
      <c r="M1072" t="b">
        <f>TRUE()</f>
        <v>1</v>
      </c>
      <c r="N1072" t="b">
        <f>FALSE()</f>
        <v>0</v>
      </c>
      <c r="O1072" s="18" t="b">
        <f t="shared" si="50"/>
        <v>0</v>
      </c>
    </row>
    <row r="1073" spans="1:15" x14ac:dyDescent="0.35">
      <c r="A1073">
        <v>41767</v>
      </c>
      <c r="B1073">
        <v>2524</v>
      </c>
      <c r="C1073" t="s">
        <v>23</v>
      </c>
      <c r="D1073" t="s">
        <v>34</v>
      </c>
      <c r="E1073" t="s">
        <v>25</v>
      </c>
      <c r="F1073">
        <v>7</v>
      </c>
      <c r="G1073">
        <v>5701.5</v>
      </c>
      <c r="H1073">
        <v>2538.3077999999996</v>
      </c>
      <c r="K1073" t="str">
        <f t="shared" si="48"/>
        <v>2.5%</v>
      </c>
      <c r="L1073" t="str">
        <f t="shared" si="49"/>
        <v>Need Improvement</v>
      </c>
      <c r="M1073" t="b">
        <f>TRUE()</f>
        <v>1</v>
      </c>
      <c r="N1073" t="b">
        <f>FALSE()</f>
        <v>0</v>
      </c>
      <c r="O1073" s="18" t="b">
        <f t="shared" si="50"/>
        <v>0</v>
      </c>
    </row>
    <row r="1074" spans="1:15" x14ac:dyDescent="0.35">
      <c r="A1074">
        <v>41768</v>
      </c>
      <c r="B1074">
        <v>2889</v>
      </c>
      <c r="C1074" t="s">
        <v>27</v>
      </c>
      <c r="D1074" t="s">
        <v>34</v>
      </c>
      <c r="E1074" t="s">
        <v>29</v>
      </c>
      <c r="F1074">
        <v>8</v>
      </c>
      <c r="G1074">
        <v>5832</v>
      </c>
      <c r="H1074">
        <v>666.01440000000002</v>
      </c>
      <c r="K1074" t="str">
        <f t="shared" si="48"/>
        <v>2.5%</v>
      </c>
      <c r="L1074" t="str">
        <f t="shared" si="49"/>
        <v>Need Improvement</v>
      </c>
      <c r="M1074" t="b">
        <f>TRUE()</f>
        <v>1</v>
      </c>
      <c r="N1074" t="b">
        <f>FALSE()</f>
        <v>0</v>
      </c>
      <c r="O1074" s="18" t="b">
        <f t="shared" si="50"/>
        <v>0</v>
      </c>
    </row>
    <row r="1075" spans="1:15" x14ac:dyDescent="0.35">
      <c r="A1075">
        <v>41769</v>
      </c>
      <c r="B1075">
        <v>2525</v>
      </c>
      <c r="C1075" t="s">
        <v>26</v>
      </c>
      <c r="D1075" t="s">
        <v>34</v>
      </c>
      <c r="E1075" t="s">
        <v>25</v>
      </c>
      <c r="F1075">
        <v>10</v>
      </c>
      <c r="G1075">
        <v>7200</v>
      </c>
      <c r="H1075">
        <v>2791.44</v>
      </c>
      <c r="K1075" t="str">
        <f t="shared" si="48"/>
        <v>2.5%</v>
      </c>
      <c r="L1075" t="str">
        <f t="shared" si="49"/>
        <v>Need Improvement</v>
      </c>
      <c r="M1075" t="b">
        <f>TRUE()</f>
        <v>1</v>
      </c>
      <c r="N1075" t="b">
        <f>FALSE()</f>
        <v>0</v>
      </c>
      <c r="O1075" s="18" t="b">
        <f t="shared" si="50"/>
        <v>0</v>
      </c>
    </row>
    <row r="1076" spans="1:15" x14ac:dyDescent="0.35">
      <c r="A1076">
        <v>41770</v>
      </c>
      <c r="B1076">
        <v>2890</v>
      </c>
      <c r="C1076" t="s">
        <v>23</v>
      </c>
      <c r="D1076" t="s">
        <v>34</v>
      </c>
      <c r="E1076" t="s">
        <v>29</v>
      </c>
      <c r="F1076">
        <v>6</v>
      </c>
      <c r="G1076">
        <v>4819.5</v>
      </c>
      <c r="H1076">
        <v>2576.826</v>
      </c>
      <c r="K1076" t="str">
        <f t="shared" si="48"/>
        <v>1.5%</v>
      </c>
      <c r="L1076" t="str">
        <f t="shared" si="49"/>
        <v>Need Improvement</v>
      </c>
      <c r="M1076" t="b">
        <f>TRUE()</f>
        <v>1</v>
      </c>
      <c r="N1076" t="b">
        <f>FALSE()</f>
        <v>0</v>
      </c>
      <c r="O1076" s="18" t="b">
        <f t="shared" si="50"/>
        <v>0</v>
      </c>
    </row>
    <row r="1077" spans="1:15" x14ac:dyDescent="0.35">
      <c r="A1077">
        <v>41771</v>
      </c>
      <c r="B1077">
        <v>2526</v>
      </c>
      <c r="C1077" t="s">
        <v>27</v>
      </c>
      <c r="D1077" t="s">
        <v>34</v>
      </c>
      <c r="E1077" t="s">
        <v>28</v>
      </c>
      <c r="F1077">
        <v>6</v>
      </c>
      <c r="G1077">
        <v>2133</v>
      </c>
      <c r="H1077">
        <v>3367.5803999999998</v>
      </c>
      <c r="K1077" t="str">
        <f t="shared" si="48"/>
        <v>1.5%</v>
      </c>
      <c r="L1077" t="str">
        <f t="shared" si="49"/>
        <v>Need Improvement</v>
      </c>
      <c r="M1077" t="b">
        <f>TRUE()</f>
        <v>1</v>
      </c>
      <c r="N1077" t="b">
        <f>FALSE()</f>
        <v>0</v>
      </c>
      <c r="O1077" s="18" t="b">
        <f t="shared" si="50"/>
        <v>0</v>
      </c>
    </row>
    <row r="1078" spans="1:15" x14ac:dyDescent="0.35">
      <c r="A1078">
        <v>41772</v>
      </c>
      <c r="B1078">
        <v>2891</v>
      </c>
      <c r="C1078" t="s">
        <v>26</v>
      </c>
      <c r="D1078" t="s">
        <v>34</v>
      </c>
      <c r="E1078" t="s">
        <v>29</v>
      </c>
      <c r="F1078">
        <v>10</v>
      </c>
      <c r="G1078">
        <v>4980</v>
      </c>
      <c r="H1078">
        <v>816.72</v>
      </c>
      <c r="K1078" t="str">
        <f t="shared" si="48"/>
        <v>1.5%</v>
      </c>
      <c r="L1078" t="str">
        <f t="shared" si="49"/>
        <v>Need Improvement</v>
      </c>
      <c r="M1078" t="b">
        <f>TRUE()</f>
        <v>1</v>
      </c>
      <c r="N1078" t="b">
        <f>FALSE()</f>
        <v>0</v>
      </c>
      <c r="O1078" s="18" t="b">
        <f t="shared" si="50"/>
        <v>0</v>
      </c>
    </row>
    <row r="1079" spans="1:15" x14ac:dyDescent="0.35">
      <c r="A1079">
        <v>41773</v>
      </c>
      <c r="B1079">
        <v>2527</v>
      </c>
      <c r="C1079" t="s">
        <v>23</v>
      </c>
      <c r="D1079" t="s">
        <v>34</v>
      </c>
      <c r="E1079" t="s">
        <v>28</v>
      </c>
      <c r="F1079">
        <v>6</v>
      </c>
      <c r="G1079">
        <v>7164</v>
      </c>
      <c r="H1079">
        <v>3062.61</v>
      </c>
      <c r="K1079" t="str">
        <f t="shared" si="48"/>
        <v>2.5%</v>
      </c>
      <c r="L1079" t="str">
        <f t="shared" si="49"/>
        <v>Need Improvement</v>
      </c>
      <c r="M1079" t="b">
        <f>TRUE()</f>
        <v>1</v>
      </c>
      <c r="N1079" t="b">
        <f>FALSE()</f>
        <v>0</v>
      </c>
      <c r="O1079" s="18" t="b">
        <f t="shared" si="50"/>
        <v>0</v>
      </c>
    </row>
    <row r="1080" spans="1:15" x14ac:dyDescent="0.35">
      <c r="A1080">
        <v>41774</v>
      </c>
      <c r="B1080">
        <v>2892</v>
      </c>
      <c r="C1080" t="s">
        <v>27</v>
      </c>
      <c r="D1080" t="s">
        <v>34</v>
      </c>
      <c r="E1080" t="s">
        <v>25</v>
      </c>
      <c r="F1080">
        <v>8</v>
      </c>
      <c r="G1080">
        <v>12540</v>
      </c>
      <c r="H1080">
        <v>2151.3624</v>
      </c>
      <c r="K1080" t="str">
        <f t="shared" si="48"/>
        <v>5%</v>
      </c>
      <c r="L1080" t="str">
        <f t="shared" si="49"/>
        <v>Good</v>
      </c>
      <c r="M1080" t="b">
        <f>TRUE()</f>
        <v>1</v>
      </c>
      <c r="N1080" t="b">
        <f>FALSE()</f>
        <v>0</v>
      </c>
      <c r="O1080" s="18" t="b">
        <f t="shared" si="50"/>
        <v>0</v>
      </c>
    </row>
    <row r="1081" spans="1:15" x14ac:dyDescent="0.35">
      <c r="A1081">
        <v>41775</v>
      </c>
      <c r="B1081">
        <v>2528</v>
      </c>
      <c r="C1081" t="s">
        <v>26</v>
      </c>
      <c r="D1081" t="s">
        <v>34</v>
      </c>
      <c r="E1081" t="s">
        <v>28</v>
      </c>
      <c r="F1081">
        <v>10</v>
      </c>
      <c r="G1081">
        <v>2445</v>
      </c>
      <c r="H1081">
        <v>1606.8540000000003</v>
      </c>
      <c r="K1081" t="str">
        <f t="shared" si="48"/>
        <v>1.5%</v>
      </c>
      <c r="L1081" t="str">
        <f t="shared" si="49"/>
        <v>Need Improvement</v>
      </c>
      <c r="M1081" t="b">
        <f>TRUE()</f>
        <v>1</v>
      </c>
      <c r="N1081" t="b">
        <f>FALSE()</f>
        <v>0</v>
      </c>
      <c r="O1081" s="18" t="b">
        <f t="shared" si="50"/>
        <v>0</v>
      </c>
    </row>
    <row r="1082" spans="1:15" x14ac:dyDescent="0.35">
      <c r="A1082">
        <v>41776</v>
      </c>
      <c r="B1082">
        <v>2893</v>
      </c>
      <c r="C1082" t="s">
        <v>23</v>
      </c>
      <c r="D1082" t="s">
        <v>34</v>
      </c>
      <c r="E1082" t="s">
        <v>25</v>
      </c>
      <c r="F1082">
        <v>10</v>
      </c>
      <c r="G1082">
        <v>4530</v>
      </c>
      <c r="H1082">
        <v>2665.6784999999995</v>
      </c>
      <c r="K1082" t="str">
        <f t="shared" si="48"/>
        <v>1.5%</v>
      </c>
      <c r="L1082" t="str">
        <f t="shared" si="49"/>
        <v>Need Improvement</v>
      </c>
      <c r="M1082" t="b">
        <f>TRUE()</f>
        <v>1</v>
      </c>
      <c r="N1082" t="b">
        <f>FALSE()</f>
        <v>0</v>
      </c>
      <c r="O1082" s="18" t="b">
        <f t="shared" si="50"/>
        <v>0</v>
      </c>
    </row>
    <row r="1083" spans="1:15" x14ac:dyDescent="0.35">
      <c r="A1083">
        <v>41777</v>
      </c>
      <c r="B1083">
        <v>2529</v>
      </c>
      <c r="C1083" t="s">
        <v>27</v>
      </c>
      <c r="D1083" t="s">
        <v>34</v>
      </c>
      <c r="E1083" t="s">
        <v>29</v>
      </c>
      <c r="F1083">
        <v>7</v>
      </c>
      <c r="G1083">
        <v>3906</v>
      </c>
      <c r="H1083">
        <v>2996.6831999999999</v>
      </c>
      <c r="K1083" t="str">
        <f t="shared" si="48"/>
        <v>1.5%</v>
      </c>
      <c r="L1083" t="str">
        <f t="shared" si="49"/>
        <v>Need Improvement</v>
      </c>
      <c r="M1083" t="b">
        <f>TRUE()</f>
        <v>1</v>
      </c>
      <c r="N1083" t="b">
        <f>FALSE()</f>
        <v>0</v>
      </c>
      <c r="O1083" s="18" t="b">
        <f t="shared" si="50"/>
        <v>0</v>
      </c>
    </row>
    <row r="1084" spans="1:15" x14ac:dyDescent="0.35">
      <c r="A1084">
        <v>41778</v>
      </c>
      <c r="B1084">
        <v>2894</v>
      </c>
      <c r="C1084" t="s">
        <v>26</v>
      </c>
      <c r="D1084" t="s">
        <v>34</v>
      </c>
      <c r="E1084" t="s">
        <v>25</v>
      </c>
      <c r="F1084">
        <v>8</v>
      </c>
      <c r="G1084">
        <v>4968</v>
      </c>
      <c r="H1084">
        <v>874.11959999999999</v>
      </c>
      <c r="K1084" t="str">
        <f t="shared" si="48"/>
        <v>1.5%</v>
      </c>
      <c r="L1084" t="str">
        <f t="shared" si="49"/>
        <v>Need Improvement</v>
      </c>
      <c r="M1084" t="b">
        <f>TRUE()</f>
        <v>1</v>
      </c>
      <c r="N1084" t="b">
        <f>FALSE()</f>
        <v>0</v>
      </c>
      <c r="O1084" s="18" t="b">
        <f t="shared" si="50"/>
        <v>0</v>
      </c>
    </row>
    <row r="1085" spans="1:15" x14ac:dyDescent="0.35">
      <c r="A1085">
        <v>41779</v>
      </c>
      <c r="B1085">
        <v>2530</v>
      </c>
      <c r="C1085" t="s">
        <v>23</v>
      </c>
      <c r="D1085" t="s">
        <v>34</v>
      </c>
      <c r="E1085" t="s">
        <v>29</v>
      </c>
      <c r="F1085">
        <v>6</v>
      </c>
      <c r="G1085">
        <v>4104</v>
      </c>
      <c r="H1085">
        <v>757.39319999999998</v>
      </c>
      <c r="K1085" t="str">
        <f t="shared" si="48"/>
        <v>1.5%</v>
      </c>
      <c r="L1085" t="str">
        <f t="shared" si="49"/>
        <v>Need Improvement</v>
      </c>
      <c r="M1085" t="b">
        <f>TRUE()</f>
        <v>1</v>
      </c>
      <c r="N1085" t="b">
        <f>FALSE()</f>
        <v>0</v>
      </c>
      <c r="O1085" s="18" t="b">
        <f t="shared" si="50"/>
        <v>0</v>
      </c>
    </row>
    <row r="1086" spans="1:15" x14ac:dyDescent="0.35">
      <c r="A1086">
        <v>41780</v>
      </c>
      <c r="B1086">
        <v>2895</v>
      </c>
      <c r="C1086" t="s">
        <v>27</v>
      </c>
      <c r="D1086" t="s">
        <v>34</v>
      </c>
      <c r="E1086" t="s">
        <v>28</v>
      </c>
      <c r="F1086">
        <v>8</v>
      </c>
      <c r="G1086">
        <v>12420</v>
      </c>
      <c r="H1086">
        <v>4550.6880000000001</v>
      </c>
      <c r="K1086" t="str">
        <f t="shared" si="48"/>
        <v>5%</v>
      </c>
      <c r="L1086" t="str">
        <f t="shared" si="49"/>
        <v>Good</v>
      </c>
      <c r="M1086" t="b">
        <f>TRUE()</f>
        <v>1</v>
      </c>
      <c r="N1086" t="b">
        <f>FALSE()</f>
        <v>0</v>
      </c>
      <c r="O1086" s="18" t="b">
        <f t="shared" si="50"/>
        <v>0</v>
      </c>
    </row>
    <row r="1087" spans="1:15" x14ac:dyDescent="0.35">
      <c r="A1087">
        <v>41781</v>
      </c>
      <c r="B1087">
        <v>2531</v>
      </c>
      <c r="C1087" t="s">
        <v>26</v>
      </c>
      <c r="D1087" t="s">
        <v>34</v>
      </c>
      <c r="E1087" t="s">
        <v>29</v>
      </c>
      <c r="F1087">
        <v>6</v>
      </c>
      <c r="G1087">
        <v>3240</v>
      </c>
      <c r="H1087">
        <v>1838.0519999999999</v>
      </c>
      <c r="K1087" t="str">
        <f t="shared" si="48"/>
        <v>1.5%</v>
      </c>
      <c r="L1087" t="str">
        <f t="shared" si="49"/>
        <v>Need Improvement</v>
      </c>
      <c r="M1087" t="b">
        <f>TRUE()</f>
        <v>1</v>
      </c>
      <c r="N1087" t="b">
        <f>FALSE()</f>
        <v>0</v>
      </c>
      <c r="O1087" s="18" t="b">
        <f t="shared" si="50"/>
        <v>0</v>
      </c>
    </row>
    <row r="1088" spans="1:15" x14ac:dyDescent="0.35">
      <c r="A1088">
        <v>41782</v>
      </c>
      <c r="B1088">
        <v>2896</v>
      </c>
      <c r="C1088" t="s">
        <v>23</v>
      </c>
      <c r="D1088" t="s">
        <v>34</v>
      </c>
      <c r="E1088" t="s">
        <v>28</v>
      </c>
      <c r="F1088">
        <v>8</v>
      </c>
      <c r="G1088">
        <v>6264</v>
      </c>
      <c r="H1088">
        <v>938.13840000000005</v>
      </c>
      <c r="K1088" t="str">
        <f t="shared" si="48"/>
        <v>2.5%</v>
      </c>
      <c r="L1088" t="str">
        <f t="shared" si="49"/>
        <v>Need Improvement</v>
      </c>
      <c r="M1088" t="b">
        <f>TRUE()</f>
        <v>1</v>
      </c>
      <c r="N1088" t="b">
        <f>FALSE()</f>
        <v>0</v>
      </c>
      <c r="O1088" s="18" t="b">
        <f t="shared" si="50"/>
        <v>0</v>
      </c>
    </row>
    <row r="1089" spans="1:15" x14ac:dyDescent="0.35">
      <c r="A1089">
        <v>41783</v>
      </c>
      <c r="B1089">
        <v>2532</v>
      </c>
      <c r="C1089" t="s">
        <v>27</v>
      </c>
      <c r="D1089" t="s">
        <v>34</v>
      </c>
      <c r="E1089" t="s">
        <v>25</v>
      </c>
      <c r="F1089">
        <v>6</v>
      </c>
      <c r="G1089">
        <v>7398</v>
      </c>
      <c r="H1089">
        <v>2380.3065000000001</v>
      </c>
      <c r="K1089" t="str">
        <f t="shared" si="48"/>
        <v>2.5%</v>
      </c>
      <c r="L1089" t="str">
        <f t="shared" si="49"/>
        <v>Need Improvement</v>
      </c>
      <c r="M1089" t="b">
        <f>TRUE()</f>
        <v>1</v>
      </c>
      <c r="N1089" t="b">
        <f>FALSE()</f>
        <v>0</v>
      </c>
      <c r="O1089" s="18" t="b">
        <f t="shared" si="50"/>
        <v>0</v>
      </c>
    </row>
    <row r="1090" spans="1:15" x14ac:dyDescent="0.35">
      <c r="A1090">
        <v>41784</v>
      </c>
      <c r="B1090">
        <v>2897</v>
      </c>
      <c r="C1090" t="s">
        <v>26</v>
      </c>
      <c r="D1090" t="s">
        <v>34</v>
      </c>
      <c r="E1090" t="s">
        <v>28</v>
      </c>
      <c r="F1090">
        <v>6</v>
      </c>
      <c r="G1090">
        <v>7641</v>
      </c>
      <c r="H1090">
        <v>4349.0025000000005</v>
      </c>
      <c r="K1090" t="str">
        <f t="shared" si="48"/>
        <v>2.5%</v>
      </c>
      <c r="L1090" t="str">
        <f t="shared" si="49"/>
        <v>Need Improvement</v>
      </c>
      <c r="M1090" t="b">
        <f>TRUE()</f>
        <v>1</v>
      </c>
      <c r="N1090" t="b">
        <f>FALSE()</f>
        <v>0</v>
      </c>
      <c r="O1090" s="18" t="b">
        <f t="shared" si="50"/>
        <v>0</v>
      </c>
    </row>
    <row r="1091" spans="1:15" x14ac:dyDescent="0.35">
      <c r="A1091">
        <v>41785</v>
      </c>
      <c r="B1091">
        <v>2533</v>
      </c>
      <c r="C1091" t="s">
        <v>23</v>
      </c>
      <c r="D1091" t="s">
        <v>34</v>
      </c>
      <c r="E1091" t="s">
        <v>25</v>
      </c>
      <c r="F1091">
        <v>8</v>
      </c>
      <c r="G1091">
        <v>7272</v>
      </c>
      <c r="H1091">
        <v>2285.5896000000002</v>
      </c>
      <c r="K1091" t="str">
        <f t="shared" ref="K1091:K1154" si="51">IF(G1091&gt;10000,"5%",IF(AND(G1091&gt;=5000,G1091&lt;10000),"2.5%","1.5%"))</f>
        <v>2.5%</v>
      </c>
      <c r="L1091" t="str">
        <f t="shared" ref="L1091:L1154" si="52">IF(OR(G1091&gt;10000,H1091&gt;=5000),"Good","Need Improvement")</f>
        <v>Need Improvement</v>
      </c>
      <c r="M1091" t="b">
        <f>TRUE()</f>
        <v>1</v>
      </c>
      <c r="N1091" t="b">
        <f>FALSE()</f>
        <v>0</v>
      </c>
      <c r="O1091" s="18" t="b">
        <f t="shared" ref="O1091:O1154" si="53">NOT(M1091)</f>
        <v>0</v>
      </c>
    </row>
    <row r="1092" spans="1:15" x14ac:dyDescent="0.35">
      <c r="A1092">
        <v>41786</v>
      </c>
      <c r="B1092">
        <v>2898</v>
      </c>
      <c r="C1092" t="s">
        <v>27</v>
      </c>
      <c r="D1092" t="s">
        <v>34</v>
      </c>
      <c r="E1092" t="s">
        <v>29</v>
      </c>
      <c r="F1092">
        <v>7</v>
      </c>
      <c r="G1092">
        <v>2362.5</v>
      </c>
      <c r="H1092">
        <v>2218.3875000000003</v>
      </c>
      <c r="K1092" t="str">
        <f t="shared" si="51"/>
        <v>1.5%</v>
      </c>
      <c r="L1092" t="str">
        <f t="shared" si="52"/>
        <v>Need Improvement</v>
      </c>
      <c r="M1092" t="b">
        <f>TRUE()</f>
        <v>1</v>
      </c>
      <c r="N1092" t="b">
        <f>FALSE()</f>
        <v>0</v>
      </c>
      <c r="O1092" s="18" t="b">
        <f t="shared" si="53"/>
        <v>0</v>
      </c>
    </row>
    <row r="1093" spans="1:15" x14ac:dyDescent="0.35">
      <c r="A1093">
        <v>41787</v>
      </c>
      <c r="B1093">
        <v>2534</v>
      </c>
      <c r="C1093" t="s">
        <v>26</v>
      </c>
      <c r="D1093" t="s">
        <v>34</v>
      </c>
      <c r="E1093" t="s">
        <v>25</v>
      </c>
      <c r="F1093">
        <v>6</v>
      </c>
      <c r="G1093">
        <v>1539</v>
      </c>
      <c r="H1093">
        <v>2418.0767999999998</v>
      </c>
      <c r="K1093" t="str">
        <f t="shared" si="51"/>
        <v>1.5%</v>
      </c>
      <c r="L1093" t="str">
        <f t="shared" si="52"/>
        <v>Need Improvement</v>
      </c>
      <c r="M1093" t="b">
        <f>TRUE()</f>
        <v>1</v>
      </c>
      <c r="N1093" t="b">
        <f>FALSE()</f>
        <v>0</v>
      </c>
      <c r="O1093" s="18" t="b">
        <f t="shared" si="53"/>
        <v>0</v>
      </c>
    </row>
    <row r="1094" spans="1:15" x14ac:dyDescent="0.35">
      <c r="A1094">
        <v>41788</v>
      </c>
      <c r="B1094">
        <v>2899</v>
      </c>
      <c r="C1094" t="s">
        <v>23</v>
      </c>
      <c r="D1094" t="s">
        <v>34</v>
      </c>
      <c r="E1094" t="s">
        <v>29</v>
      </c>
      <c r="F1094">
        <v>7</v>
      </c>
      <c r="G1094">
        <v>2499</v>
      </c>
      <c r="H1094">
        <v>3060.2753999999995</v>
      </c>
      <c r="K1094" t="str">
        <f t="shared" si="51"/>
        <v>1.5%</v>
      </c>
      <c r="L1094" t="str">
        <f t="shared" si="52"/>
        <v>Need Improvement</v>
      </c>
      <c r="M1094" t="b">
        <f>TRUE()</f>
        <v>1</v>
      </c>
      <c r="N1094" t="b">
        <f>FALSE()</f>
        <v>0</v>
      </c>
      <c r="O1094" s="18" t="b">
        <f t="shared" si="53"/>
        <v>0</v>
      </c>
    </row>
    <row r="1095" spans="1:15" x14ac:dyDescent="0.35">
      <c r="A1095">
        <v>41789</v>
      </c>
      <c r="B1095">
        <v>2535</v>
      </c>
      <c r="C1095" t="s">
        <v>27</v>
      </c>
      <c r="D1095" t="s">
        <v>34</v>
      </c>
      <c r="E1095" t="s">
        <v>28</v>
      </c>
      <c r="F1095">
        <v>7</v>
      </c>
      <c r="G1095">
        <v>2205</v>
      </c>
      <c r="H1095">
        <v>1384.7400000000002</v>
      </c>
      <c r="K1095" t="str">
        <f t="shared" si="51"/>
        <v>1.5%</v>
      </c>
      <c r="L1095" t="str">
        <f t="shared" si="52"/>
        <v>Need Improvement</v>
      </c>
      <c r="M1095" t="b">
        <f>TRUE()</f>
        <v>1</v>
      </c>
      <c r="N1095" t="b">
        <f>FALSE()</f>
        <v>0</v>
      </c>
      <c r="O1095" s="18" t="b">
        <f t="shared" si="53"/>
        <v>0</v>
      </c>
    </row>
    <row r="1096" spans="1:15" x14ac:dyDescent="0.35">
      <c r="A1096">
        <v>41790</v>
      </c>
      <c r="B1096">
        <v>2900</v>
      </c>
      <c r="C1096" t="s">
        <v>26</v>
      </c>
      <c r="D1096" t="s">
        <v>34</v>
      </c>
      <c r="E1096" t="s">
        <v>29</v>
      </c>
      <c r="F1096">
        <v>9</v>
      </c>
      <c r="G1096">
        <v>7249.5</v>
      </c>
      <c r="H1096">
        <v>3633.2077500000005</v>
      </c>
      <c r="K1096" t="str">
        <f t="shared" si="51"/>
        <v>2.5%</v>
      </c>
      <c r="L1096" t="str">
        <f t="shared" si="52"/>
        <v>Need Improvement</v>
      </c>
      <c r="M1096" t="b">
        <f>TRUE()</f>
        <v>1</v>
      </c>
      <c r="N1096" t="b">
        <f>FALSE()</f>
        <v>0</v>
      </c>
      <c r="O1096" s="18" t="b">
        <f t="shared" si="53"/>
        <v>0</v>
      </c>
    </row>
    <row r="1097" spans="1:15" x14ac:dyDescent="0.35">
      <c r="A1097">
        <v>41791</v>
      </c>
      <c r="B1097">
        <v>2536</v>
      </c>
      <c r="C1097" t="s">
        <v>23</v>
      </c>
      <c r="D1097" t="s">
        <v>34</v>
      </c>
      <c r="E1097" t="s">
        <v>28</v>
      </c>
      <c r="F1097">
        <v>10</v>
      </c>
      <c r="G1097">
        <v>4905</v>
      </c>
      <c r="H1097">
        <v>1843.299</v>
      </c>
      <c r="K1097" t="str">
        <f t="shared" si="51"/>
        <v>1.5%</v>
      </c>
      <c r="L1097" t="str">
        <f t="shared" si="52"/>
        <v>Need Improvement</v>
      </c>
      <c r="M1097" t="b">
        <f>TRUE()</f>
        <v>1</v>
      </c>
      <c r="N1097" t="b">
        <f>FALSE()</f>
        <v>0</v>
      </c>
      <c r="O1097" s="18" t="b">
        <f t="shared" si="53"/>
        <v>0</v>
      </c>
    </row>
    <row r="1098" spans="1:15" x14ac:dyDescent="0.35">
      <c r="A1098">
        <v>41792</v>
      </c>
      <c r="B1098">
        <v>2901</v>
      </c>
      <c r="C1098" t="s">
        <v>27</v>
      </c>
      <c r="D1098" t="s">
        <v>34</v>
      </c>
      <c r="E1098" t="s">
        <v>25</v>
      </c>
      <c r="F1098">
        <v>8</v>
      </c>
      <c r="G1098">
        <v>7128</v>
      </c>
      <c r="H1098">
        <v>3282.6815999999999</v>
      </c>
      <c r="K1098" t="str">
        <f t="shared" si="51"/>
        <v>2.5%</v>
      </c>
      <c r="L1098" t="str">
        <f t="shared" si="52"/>
        <v>Need Improvement</v>
      </c>
      <c r="M1098" t="b">
        <f>TRUE()</f>
        <v>1</v>
      </c>
      <c r="N1098" t="b">
        <f>FALSE()</f>
        <v>0</v>
      </c>
      <c r="O1098" s="18" t="b">
        <f t="shared" si="53"/>
        <v>0</v>
      </c>
    </row>
    <row r="1099" spans="1:15" x14ac:dyDescent="0.35">
      <c r="A1099">
        <v>41793</v>
      </c>
      <c r="B1099">
        <v>2537</v>
      </c>
      <c r="C1099" t="s">
        <v>26</v>
      </c>
      <c r="D1099" t="s">
        <v>34</v>
      </c>
      <c r="E1099" t="s">
        <v>28</v>
      </c>
      <c r="F1099">
        <v>10</v>
      </c>
      <c r="G1099">
        <v>3270</v>
      </c>
      <c r="H1099">
        <v>632.09100000000001</v>
      </c>
      <c r="K1099" t="str">
        <f t="shared" si="51"/>
        <v>1.5%</v>
      </c>
      <c r="L1099" t="str">
        <f t="shared" si="52"/>
        <v>Need Improvement</v>
      </c>
      <c r="M1099" t="b">
        <f>TRUE()</f>
        <v>1</v>
      </c>
      <c r="N1099" t="b">
        <f>FALSE()</f>
        <v>0</v>
      </c>
      <c r="O1099" s="18" t="b">
        <f t="shared" si="53"/>
        <v>0</v>
      </c>
    </row>
    <row r="1100" spans="1:15" x14ac:dyDescent="0.35">
      <c r="A1100">
        <v>41794</v>
      </c>
      <c r="B1100">
        <v>2902</v>
      </c>
      <c r="C1100" t="s">
        <v>23</v>
      </c>
      <c r="D1100" t="s">
        <v>34</v>
      </c>
      <c r="E1100" t="s">
        <v>25</v>
      </c>
      <c r="F1100">
        <v>9</v>
      </c>
      <c r="G1100">
        <v>7884</v>
      </c>
      <c r="H1100">
        <v>1054.0907999999999</v>
      </c>
      <c r="K1100" t="str">
        <f t="shared" si="51"/>
        <v>2.5%</v>
      </c>
      <c r="L1100" t="str">
        <f t="shared" si="52"/>
        <v>Need Improvement</v>
      </c>
      <c r="M1100" t="b">
        <f>TRUE()</f>
        <v>1</v>
      </c>
      <c r="N1100" t="b">
        <f>FALSE()</f>
        <v>0</v>
      </c>
      <c r="O1100" s="18" t="b">
        <f t="shared" si="53"/>
        <v>0</v>
      </c>
    </row>
    <row r="1101" spans="1:15" x14ac:dyDescent="0.35">
      <c r="A1101">
        <v>41795</v>
      </c>
      <c r="B1101">
        <v>2538</v>
      </c>
      <c r="C1101" t="s">
        <v>27</v>
      </c>
      <c r="D1101" t="s">
        <v>34</v>
      </c>
      <c r="E1101" t="s">
        <v>29</v>
      </c>
      <c r="F1101">
        <v>7</v>
      </c>
      <c r="G1101">
        <v>3874.5</v>
      </c>
      <c r="H1101">
        <v>4334.5968749999993</v>
      </c>
      <c r="K1101" t="str">
        <f t="shared" si="51"/>
        <v>1.5%</v>
      </c>
      <c r="L1101" t="str">
        <f t="shared" si="52"/>
        <v>Need Improvement</v>
      </c>
      <c r="M1101" t="b">
        <f>TRUE()</f>
        <v>1</v>
      </c>
      <c r="N1101" t="b">
        <f>FALSE()</f>
        <v>0</v>
      </c>
      <c r="O1101" s="18" t="b">
        <f t="shared" si="53"/>
        <v>0</v>
      </c>
    </row>
    <row r="1102" spans="1:15" x14ac:dyDescent="0.35">
      <c r="A1102">
        <v>41796</v>
      </c>
      <c r="B1102">
        <v>2903</v>
      </c>
      <c r="C1102" t="s">
        <v>26</v>
      </c>
      <c r="D1102" t="s">
        <v>34</v>
      </c>
      <c r="E1102" t="s">
        <v>25</v>
      </c>
      <c r="F1102">
        <v>8</v>
      </c>
      <c r="G1102">
        <v>2400</v>
      </c>
      <c r="H1102">
        <v>2930.3999999999996</v>
      </c>
      <c r="K1102" t="str">
        <f t="shared" si="51"/>
        <v>1.5%</v>
      </c>
      <c r="L1102" t="str">
        <f t="shared" si="52"/>
        <v>Need Improvement</v>
      </c>
      <c r="M1102" t="b">
        <f>TRUE()</f>
        <v>1</v>
      </c>
      <c r="N1102" t="b">
        <f>FALSE()</f>
        <v>0</v>
      </c>
      <c r="O1102" s="18" t="b">
        <f t="shared" si="53"/>
        <v>0</v>
      </c>
    </row>
    <row r="1103" spans="1:15" x14ac:dyDescent="0.35">
      <c r="A1103">
        <v>41797</v>
      </c>
      <c r="B1103">
        <v>2539</v>
      </c>
      <c r="C1103" t="s">
        <v>23</v>
      </c>
      <c r="D1103" t="s">
        <v>34</v>
      </c>
      <c r="E1103" t="s">
        <v>29</v>
      </c>
      <c r="F1103">
        <v>9</v>
      </c>
      <c r="G1103">
        <v>8316</v>
      </c>
      <c r="H1103">
        <v>1838.2518</v>
      </c>
      <c r="K1103" t="str">
        <f t="shared" si="51"/>
        <v>2.5%</v>
      </c>
      <c r="L1103" t="str">
        <f t="shared" si="52"/>
        <v>Need Improvement</v>
      </c>
      <c r="M1103" t="b">
        <f>TRUE()</f>
        <v>1</v>
      </c>
      <c r="N1103" t="b">
        <f>FALSE()</f>
        <v>0</v>
      </c>
      <c r="O1103" s="18" t="b">
        <f t="shared" si="53"/>
        <v>0</v>
      </c>
    </row>
    <row r="1104" spans="1:15" x14ac:dyDescent="0.35">
      <c r="A1104">
        <v>41798</v>
      </c>
      <c r="B1104">
        <v>2904</v>
      </c>
      <c r="C1104" t="s">
        <v>27</v>
      </c>
      <c r="D1104" t="s">
        <v>34</v>
      </c>
      <c r="E1104" t="s">
        <v>28</v>
      </c>
      <c r="F1104">
        <v>7</v>
      </c>
      <c r="G1104">
        <v>6804</v>
      </c>
      <c r="H1104">
        <v>2483.46</v>
      </c>
      <c r="K1104" t="str">
        <f t="shared" si="51"/>
        <v>2.5%</v>
      </c>
      <c r="L1104" t="str">
        <f t="shared" si="52"/>
        <v>Need Improvement</v>
      </c>
      <c r="M1104" t="b">
        <f>TRUE()</f>
        <v>1</v>
      </c>
      <c r="N1104" t="b">
        <f>FALSE()</f>
        <v>0</v>
      </c>
      <c r="O1104" s="18" t="b">
        <f t="shared" si="53"/>
        <v>0</v>
      </c>
    </row>
    <row r="1105" spans="1:15" x14ac:dyDescent="0.35">
      <c r="A1105">
        <v>41799</v>
      </c>
      <c r="B1105">
        <v>2540</v>
      </c>
      <c r="C1105" t="s">
        <v>26</v>
      </c>
      <c r="D1105" t="s">
        <v>34</v>
      </c>
      <c r="E1105" t="s">
        <v>29</v>
      </c>
      <c r="F1105">
        <v>10</v>
      </c>
      <c r="G1105">
        <v>4440</v>
      </c>
      <c r="H1105">
        <v>1779.9959999999999</v>
      </c>
      <c r="K1105" t="str">
        <f t="shared" si="51"/>
        <v>1.5%</v>
      </c>
      <c r="L1105" t="str">
        <f t="shared" si="52"/>
        <v>Need Improvement</v>
      </c>
      <c r="M1105" t="b">
        <f>TRUE()</f>
        <v>1</v>
      </c>
      <c r="N1105" t="b">
        <f>FALSE()</f>
        <v>0</v>
      </c>
      <c r="O1105" s="18" t="b">
        <f t="shared" si="53"/>
        <v>0</v>
      </c>
    </row>
    <row r="1106" spans="1:15" x14ac:dyDescent="0.35">
      <c r="A1106">
        <v>41800</v>
      </c>
      <c r="B1106">
        <v>2905</v>
      </c>
      <c r="C1106" t="s">
        <v>23</v>
      </c>
      <c r="D1106" t="s">
        <v>34</v>
      </c>
      <c r="E1106" t="s">
        <v>28</v>
      </c>
      <c r="F1106">
        <v>6</v>
      </c>
      <c r="G1106">
        <v>7155</v>
      </c>
      <c r="H1106">
        <v>1952.8380000000002</v>
      </c>
      <c r="K1106" t="str">
        <f t="shared" si="51"/>
        <v>2.5%</v>
      </c>
      <c r="L1106" t="str">
        <f t="shared" si="52"/>
        <v>Need Improvement</v>
      </c>
      <c r="M1106" t="b">
        <f>TRUE()</f>
        <v>1</v>
      </c>
      <c r="N1106" t="b">
        <f>FALSE()</f>
        <v>0</v>
      </c>
      <c r="O1106" s="18" t="b">
        <f t="shared" si="53"/>
        <v>0</v>
      </c>
    </row>
    <row r="1107" spans="1:15" x14ac:dyDescent="0.35">
      <c r="A1107">
        <v>41801</v>
      </c>
      <c r="B1107">
        <v>2910</v>
      </c>
      <c r="C1107" t="s">
        <v>23</v>
      </c>
      <c r="D1107" t="s">
        <v>34</v>
      </c>
      <c r="E1107" t="s">
        <v>28</v>
      </c>
      <c r="F1107">
        <v>6</v>
      </c>
      <c r="G1107">
        <v>11925</v>
      </c>
      <c r="H1107">
        <v>976.4190000000001</v>
      </c>
      <c r="K1107" t="str">
        <f t="shared" si="51"/>
        <v>5%</v>
      </c>
      <c r="L1107" t="str">
        <f t="shared" si="52"/>
        <v>Good</v>
      </c>
      <c r="M1107" t="b">
        <f>TRUE()</f>
        <v>1</v>
      </c>
      <c r="N1107" t="b">
        <f>FALSE()</f>
        <v>0</v>
      </c>
      <c r="O1107" s="18" t="b">
        <f t="shared" si="53"/>
        <v>0</v>
      </c>
    </row>
    <row r="1108" spans="1:15" x14ac:dyDescent="0.35">
      <c r="A1108">
        <v>41802</v>
      </c>
      <c r="B1108">
        <v>2541</v>
      </c>
      <c r="C1108" t="s">
        <v>27</v>
      </c>
      <c r="D1108" t="s">
        <v>34</v>
      </c>
      <c r="E1108" t="s">
        <v>25</v>
      </c>
      <c r="F1108">
        <v>8</v>
      </c>
      <c r="G1108">
        <v>6144</v>
      </c>
      <c r="H1108">
        <v>687.66719999999998</v>
      </c>
      <c r="K1108" t="str">
        <f t="shared" si="51"/>
        <v>2.5%</v>
      </c>
      <c r="L1108" t="str">
        <f t="shared" si="52"/>
        <v>Need Improvement</v>
      </c>
      <c r="M1108" t="b">
        <f>TRUE()</f>
        <v>1</v>
      </c>
      <c r="N1108" t="b">
        <f>FALSE()</f>
        <v>0</v>
      </c>
      <c r="O1108" s="18" t="b">
        <f t="shared" si="53"/>
        <v>0</v>
      </c>
    </row>
    <row r="1109" spans="1:15" x14ac:dyDescent="0.35">
      <c r="A1109">
        <v>41803</v>
      </c>
      <c r="B1109">
        <v>2906</v>
      </c>
      <c r="C1109" t="s">
        <v>26</v>
      </c>
      <c r="D1109" t="s">
        <v>34</v>
      </c>
      <c r="E1109" t="s">
        <v>28</v>
      </c>
      <c r="F1109">
        <v>10</v>
      </c>
      <c r="G1109">
        <v>10640</v>
      </c>
      <c r="H1109">
        <v>2016.28</v>
      </c>
      <c r="K1109" t="str">
        <f t="shared" si="51"/>
        <v>5%</v>
      </c>
      <c r="L1109" t="str">
        <f t="shared" si="52"/>
        <v>Good</v>
      </c>
      <c r="M1109" t="b">
        <f>TRUE()</f>
        <v>1</v>
      </c>
      <c r="N1109" t="b">
        <f>FALSE()</f>
        <v>0</v>
      </c>
      <c r="O1109" s="18" t="b">
        <f t="shared" si="53"/>
        <v>0</v>
      </c>
    </row>
    <row r="1110" spans="1:15" x14ac:dyDescent="0.35">
      <c r="A1110">
        <v>41804</v>
      </c>
      <c r="B1110">
        <v>2911</v>
      </c>
      <c r="C1110" t="s">
        <v>26</v>
      </c>
      <c r="D1110" t="s">
        <v>34</v>
      </c>
      <c r="E1110" t="s">
        <v>28</v>
      </c>
      <c r="F1110">
        <v>10</v>
      </c>
      <c r="G1110">
        <v>7980</v>
      </c>
      <c r="H1110">
        <v>4032.56</v>
      </c>
      <c r="K1110" t="str">
        <f t="shared" si="51"/>
        <v>2.5%</v>
      </c>
      <c r="L1110" t="str">
        <f t="shared" si="52"/>
        <v>Need Improvement</v>
      </c>
      <c r="M1110" t="b">
        <f>TRUE()</f>
        <v>1</v>
      </c>
      <c r="N1110" t="b">
        <f>FALSE()</f>
        <v>0</v>
      </c>
      <c r="O1110" s="18" t="b">
        <f t="shared" si="53"/>
        <v>0</v>
      </c>
    </row>
    <row r="1111" spans="1:15" x14ac:dyDescent="0.35">
      <c r="A1111">
        <v>41805</v>
      </c>
      <c r="B1111">
        <v>2542</v>
      </c>
      <c r="C1111" t="s">
        <v>23</v>
      </c>
      <c r="D1111" t="s">
        <v>34</v>
      </c>
      <c r="E1111" t="s">
        <v>25</v>
      </c>
      <c r="F1111">
        <v>10</v>
      </c>
      <c r="G1111">
        <v>9900</v>
      </c>
      <c r="H1111">
        <v>4235.22</v>
      </c>
      <c r="K1111" t="str">
        <f t="shared" si="51"/>
        <v>2.5%</v>
      </c>
      <c r="L1111" t="str">
        <f t="shared" si="52"/>
        <v>Need Improvement</v>
      </c>
      <c r="M1111" t="b">
        <f>TRUE()</f>
        <v>1</v>
      </c>
      <c r="N1111" t="b">
        <f>FALSE()</f>
        <v>0</v>
      </c>
      <c r="O1111" s="18" t="b">
        <f t="shared" si="53"/>
        <v>0</v>
      </c>
    </row>
    <row r="1112" spans="1:15" x14ac:dyDescent="0.35">
      <c r="A1112">
        <v>41806</v>
      </c>
      <c r="B1112">
        <v>2907</v>
      </c>
      <c r="C1112" t="s">
        <v>27</v>
      </c>
      <c r="D1112" t="s">
        <v>34</v>
      </c>
      <c r="E1112" t="s">
        <v>29</v>
      </c>
      <c r="F1112">
        <v>9</v>
      </c>
      <c r="G1112">
        <v>10485</v>
      </c>
      <c r="H1112">
        <v>2603.8449000000001</v>
      </c>
      <c r="K1112" t="str">
        <f t="shared" si="51"/>
        <v>5%</v>
      </c>
      <c r="L1112" t="str">
        <f t="shared" si="52"/>
        <v>Good</v>
      </c>
      <c r="M1112" t="b">
        <f>TRUE()</f>
        <v>1</v>
      </c>
      <c r="N1112" t="b">
        <f>FALSE()</f>
        <v>0</v>
      </c>
      <c r="O1112" s="18" t="b">
        <f t="shared" si="53"/>
        <v>0</v>
      </c>
    </row>
    <row r="1113" spans="1:15" x14ac:dyDescent="0.35">
      <c r="A1113">
        <v>41807</v>
      </c>
      <c r="B1113">
        <v>2912</v>
      </c>
      <c r="C1113" t="s">
        <v>27</v>
      </c>
      <c r="D1113" t="s">
        <v>34</v>
      </c>
      <c r="E1113" t="s">
        <v>29</v>
      </c>
      <c r="F1113">
        <v>9</v>
      </c>
      <c r="G1113">
        <v>4194</v>
      </c>
      <c r="H1113">
        <v>4339.7415000000001</v>
      </c>
      <c r="K1113" t="str">
        <f t="shared" si="51"/>
        <v>1.5%</v>
      </c>
      <c r="L1113" t="str">
        <f t="shared" si="52"/>
        <v>Need Improvement</v>
      </c>
      <c r="M1113" t="b">
        <f>TRUE()</f>
        <v>1</v>
      </c>
      <c r="N1113" t="b">
        <f>FALSE()</f>
        <v>0</v>
      </c>
      <c r="O1113" s="18" t="b">
        <f t="shared" si="53"/>
        <v>0</v>
      </c>
    </row>
    <row r="1114" spans="1:15" x14ac:dyDescent="0.35">
      <c r="A1114">
        <v>41808</v>
      </c>
      <c r="B1114">
        <v>2543</v>
      </c>
      <c r="C1114" t="s">
        <v>26</v>
      </c>
      <c r="D1114" t="s">
        <v>34</v>
      </c>
      <c r="E1114" t="s">
        <v>25</v>
      </c>
      <c r="F1114">
        <v>6</v>
      </c>
      <c r="G1114">
        <v>4576.5</v>
      </c>
      <c r="H1114">
        <v>2406.4762500000002</v>
      </c>
      <c r="K1114" t="str">
        <f t="shared" si="51"/>
        <v>1.5%</v>
      </c>
      <c r="L1114" t="str">
        <f t="shared" si="52"/>
        <v>Need Improvement</v>
      </c>
      <c r="M1114" t="b">
        <f>TRUE()</f>
        <v>1</v>
      </c>
      <c r="N1114" t="b">
        <f>FALSE()</f>
        <v>0</v>
      </c>
      <c r="O1114" s="18" t="b">
        <f t="shared" si="53"/>
        <v>0</v>
      </c>
    </row>
    <row r="1115" spans="1:15" x14ac:dyDescent="0.35">
      <c r="A1115">
        <v>41809</v>
      </c>
      <c r="B1115">
        <v>2908</v>
      </c>
      <c r="C1115" t="s">
        <v>23</v>
      </c>
      <c r="D1115" t="s">
        <v>34</v>
      </c>
      <c r="E1115" t="s">
        <v>29</v>
      </c>
      <c r="F1115">
        <v>7</v>
      </c>
      <c r="G1115">
        <v>6090</v>
      </c>
      <c r="H1115">
        <v>2547.1425000000004</v>
      </c>
      <c r="K1115" t="str">
        <f t="shared" si="51"/>
        <v>2.5%</v>
      </c>
      <c r="L1115" t="str">
        <f t="shared" si="52"/>
        <v>Need Improvement</v>
      </c>
      <c r="M1115" t="b">
        <f>TRUE()</f>
        <v>1</v>
      </c>
      <c r="N1115" t="b">
        <f>FALSE()</f>
        <v>0</v>
      </c>
      <c r="O1115" s="18" t="b">
        <f t="shared" si="53"/>
        <v>0</v>
      </c>
    </row>
    <row r="1116" spans="1:15" x14ac:dyDescent="0.35">
      <c r="A1116">
        <v>41810</v>
      </c>
      <c r="B1116">
        <v>2913</v>
      </c>
      <c r="C1116" t="s">
        <v>23</v>
      </c>
      <c r="D1116" t="s">
        <v>34</v>
      </c>
      <c r="E1116" t="s">
        <v>29</v>
      </c>
      <c r="F1116">
        <v>7</v>
      </c>
      <c r="G1116">
        <v>6090</v>
      </c>
      <c r="H1116">
        <v>2547.1425000000004</v>
      </c>
      <c r="K1116" t="str">
        <f t="shared" si="51"/>
        <v>2.5%</v>
      </c>
      <c r="L1116" t="str">
        <f t="shared" si="52"/>
        <v>Need Improvement</v>
      </c>
      <c r="M1116" t="b">
        <f>TRUE()</f>
        <v>1</v>
      </c>
      <c r="N1116" t="b">
        <f>FALSE()</f>
        <v>0</v>
      </c>
      <c r="O1116" s="18" t="b">
        <f t="shared" si="53"/>
        <v>0</v>
      </c>
    </row>
    <row r="1117" spans="1:15" x14ac:dyDescent="0.35">
      <c r="A1117">
        <v>41811</v>
      </c>
      <c r="B1117">
        <v>2544</v>
      </c>
      <c r="C1117" t="s">
        <v>27</v>
      </c>
      <c r="D1117" t="s">
        <v>34</v>
      </c>
      <c r="E1117" t="s">
        <v>28</v>
      </c>
      <c r="F1117">
        <v>6</v>
      </c>
      <c r="G1117">
        <v>5292</v>
      </c>
      <c r="H1117">
        <v>3454.6175999999996</v>
      </c>
      <c r="K1117" t="str">
        <f t="shared" si="51"/>
        <v>2.5%</v>
      </c>
      <c r="L1117" t="str">
        <f t="shared" si="52"/>
        <v>Need Improvement</v>
      </c>
      <c r="M1117" t="b">
        <f>TRUE()</f>
        <v>1</v>
      </c>
      <c r="N1117" t="b">
        <f>FALSE()</f>
        <v>0</v>
      </c>
      <c r="O1117" s="18" t="b">
        <f t="shared" si="53"/>
        <v>0</v>
      </c>
    </row>
    <row r="1118" spans="1:15" x14ac:dyDescent="0.35">
      <c r="A1118">
        <v>41812</v>
      </c>
      <c r="B1118">
        <v>2909</v>
      </c>
      <c r="C1118" t="s">
        <v>26</v>
      </c>
      <c r="D1118" t="s">
        <v>34</v>
      </c>
      <c r="E1118" t="s">
        <v>29</v>
      </c>
      <c r="F1118">
        <v>9</v>
      </c>
      <c r="G1118">
        <v>4252.5</v>
      </c>
      <c r="H1118">
        <v>680.40000000000009</v>
      </c>
      <c r="K1118" t="str">
        <f t="shared" si="51"/>
        <v>1.5%</v>
      </c>
      <c r="L1118" t="str">
        <f t="shared" si="52"/>
        <v>Need Improvement</v>
      </c>
      <c r="M1118" t="b">
        <f>TRUE()</f>
        <v>1</v>
      </c>
      <c r="N1118" t="b">
        <f>FALSE()</f>
        <v>0</v>
      </c>
      <c r="O1118" s="18" t="b">
        <f t="shared" si="53"/>
        <v>0</v>
      </c>
    </row>
    <row r="1119" spans="1:15" x14ac:dyDescent="0.35">
      <c r="A1119">
        <v>41813</v>
      </c>
      <c r="B1119">
        <v>2914</v>
      </c>
      <c r="C1119" t="s">
        <v>26</v>
      </c>
      <c r="D1119" t="s">
        <v>34</v>
      </c>
      <c r="E1119" t="s">
        <v>29</v>
      </c>
      <c r="F1119">
        <v>9</v>
      </c>
      <c r="G1119">
        <v>4252.5</v>
      </c>
      <c r="H1119">
        <v>2041.2000000000003</v>
      </c>
      <c r="K1119" t="str">
        <f t="shared" si="51"/>
        <v>1.5%</v>
      </c>
      <c r="L1119" t="str">
        <f t="shared" si="52"/>
        <v>Need Improvement</v>
      </c>
      <c r="M1119" t="b">
        <f>TRUE()</f>
        <v>1</v>
      </c>
      <c r="N1119" t="b">
        <f>FALSE()</f>
        <v>0</v>
      </c>
      <c r="O1119" s="18" t="b">
        <f t="shared" si="53"/>
        <v>0</v>
      </c>
    </row>
    <row r="1120" spans="1:15" x14ac:dyDescent="0.35">
      <c r="A1120">
        <v>41814</v>
      </c>
      <c r="B1120">
        <v>2915</v>
      </c>
      <c r="C1120" t="s">
        <v>23</v>
      </c>
      <c r="D1120" t="s">
        <v>34</v>
      </c>
      <c r="E1120" t="s">
        <v>25</v>
      </c>
      <c r="F1120">
        <v>8</v>
      </c>
      <c r="G1120">
        <v>4776</v>
      </c>
      <c r="H1120">
        <v>2532.4739999999997</v>
      </c>
      <c r="K1120" t="str">
        <f t="shared" si="51"/>
        <v>1.5%</v>
      </c>
      <c r="L1120" t="str">
        <f t="shared" si="52"/>
        <v>Need Improvement</v>
      </c>
      <c r="M1120" t="b">
        <f>TRUE()</f>
        <v>1</v>
      </c>
      <c r="N1120" t="b">
        <f>FALSE()</f>
        <v>0</v>
      </c>
      <c r="O1120" s="18" t="b">
        <f t="shared" si="53"/>
        <v>0</v>
      </c>
    </row>
    <row r="1121" spans="1:15" x14ac:dyDescent="0.35">
      <c r="A1121">
        <v>41815</v>
      </c>
      <c r="B1121">
        <v>2545</v>
      </c>
      <c r="C1121" t="s">
        <v>23</v>
      </c>
      <c r="D1121" t="s">
        <v>34</v>
      </c>
      <c r="E1121" t="s">
        <v>28</v>
      </c>
      <c r="F1121">
        <v>9</v>
      </c>
      <c r="G1121">
        <v>6777</v>
      </c>
      <c r="H1121">
        <v>2062.9187999999999</v>
      </c>
      <c r="K1121" t="str">
        <f t="shared" si="51"/>
        <v>2.5%</v>
      </c>
      <c r="L1121" t="str">
        <f t="shared" si="52"/>
        <v>Need Improvement</v>
      </c>
      <c r="M1121" t="b">
        <f>TRUE()</f>
        <v>1</v>
      </c>
      <c r="N1121" t="b">
        <f>FALSE()</f>
        <v>0</v>
      </c>
      <c r="O1121" s="18" t="b">
        <f t="shared" si="53"/>
        <v>0</v>
      </c>
    </row>
    <row r="1122" spans="1:15" x14ac:dyDescent="0.35">
      <c r="A1122">
        <v>41816</v>
      </c>
      <c r="B1122">
        <v>2546</v>
      </c>
      <c r="C1122" t="s">
        <v>26</v>
      </c>
      <c r="D1122" t="s">
        <v>34</v>
      </c>
      <c r="E1122" t="s">
        <v>28</v>
      </c>
      <c r="F1122">
        <v>9</v>
      </c>
      <c r="G1122">
        <v>5697</v>
      </c>
      <c r="H1122">
        <v>1026.5994000000001</v>
      </c>
      <c r="K1122" t="str">
        <f t="shared" si="51"/>
        <v>2.5%</v>
      </c>
      <c r="L1122" t="str">
        <f t="shared" si="52"/>
        <v>Need Improvement</v>
      </c>
      <c r="M1122" t="b">
        <f>TRUE()</f>
        <v>1</v>
      </c>
      <c r="N1122" t="b">
        <f>FALSE()</f>
        <v>0</v>
      </c>
      <c r="O1122" s="18" t="b">
        <f t="shared" si="53"/>
        <v>0</v>
      </c>
    </row>
    <row r="1123" spans="1:15" x14ac:dyDescent="0.35">
      <c r="A1123">
        <v>41817</v>
      </c>
      <c r="B1123">
        <v>2547</v>
      </c>
      <c r="C1123" t="s">
        <v>27</v>
      </c>
      <c r="D1123" t="s">
        <v>34</v>
      </c>
      <c r="E1123" t="s">
        <v>29</v>
      </c>
      <c r="F1123">
        <v>7</v>
      </c>
      <c r="G1123">
        <v>4000.5</v>
      </c>
      <c r="H1123">
        <v>2616.3270000000002</v>
      </c>
      <c r="K1123" t="str">
        <f t="shared" si="51"/>
        <v>1.5%</v>
      </c>
      <c r="L1123" t="str">
        <f t="shared" si="52"/>
        <v>Need Improvement</v>
      </c>
      <c r="M1123" t="b">
        <f>TRUE()</f>
        <v>1</v>
      </c>
      <c r="N1123" t="b">
        <f>FALSE()</f>
        <v>0</v>
      </c>
      <c r="O1123" s="18" t="b">
        <f t="shared" si="53"/>
        <v>0</v>
      </c>
    </row>
    <row r="1124" spans="1:15" x14ac:dyDescent="0.35">
      <c r="A1124">
        <v>41818</v>
      </c>
      <c r="B1124">
        <v>2548</v>
      </c>
      <c r="C1124" t="s">
        <v>23</v>
      </c>
      <c r="D1124" t="s">
        <v>34</v>
      </c>
      <c r="E1124" t="s">
        <v>29</v>
      </c>
      <c r="F1124">
        <v>6</v>
      </c>
      <c r="G1124">
        <v>5427</v>
      </c>
      <c r="H1124">
        <v>2658.5064000000002</v>
      </c>
      <c r="K1124" t="str">
        <f t="shared" si="51"/>
        <v>2.5%</v>
      </c>
      <c r="L1124" t="str">
        <f t="shared" si="52"/>
        <v>Need Improvement</v>
      </c>
      <c r="M1124" t="b">
        <f>TRUE()</f>
        <v>1</v>
      </c>
      <c r="N1124" t="b">
        <f>FALSE()</f>
        <v>0</v>
      </c>
      <c r="O1124" s="18" t="b">
        <f t="shared" si="53"/>
        <v>0</v>
      </c>
    </row>
    <row r="1125" spans="1:15" x14ac:dyDescent="0.35">
      <c r="A1125">
        <v>41819</v>
      </c>
      <c r="B1125">
        <v>2549</v>
      </c>
      <c r="C1125" t="s">
        <v>26</v>
      </c>
      <c r="D1125" t="s">
        <v>34</v>
      </c>
      <c r="E1125" t="s">
        <v>29</v>
      </c>
      <c r="F1125">
        <v>7</v>
      </c>
      <c r="G1125">
        <v>3192</v>
      </c>
      <c r="H1125">
        <v>1860.6168</v>
      </c>
      <c r="K1125" t="str">
        <f t="shared" si="51"/>
        <v>1.5%</v>
      </c>
      <c r="L1125" t="str">
        <f t="shared" si="52"/>
        <v>Need Improvement</v>
      </c>
      <c r="M1125" t="b">
        <f>TRUE()</f>
        <v>1</v>
      </c>
      <c r="N1125" t="b">
        <f>FALSE()</f>
        <v>0</v>
      </c>
      <c r="O1125" s="18" t="b">
        <f t="shared" si="53"/>
        <v>0</v>
      </c>
    </row>
    <row r="1126" spans="1:15" x14ac:dyDescent="0.35">
      <c r="A1126">
        <v>41820</v>
      </c>
      <c r="B1126">
        <v>2550</v>
      </c>
      <c r="C1126" t="s">
        <v>27</v>
      </c>
      <c r="D1126" t="s">
        <v>34</v>
      </c>
      <c r="E1126" t="s">
        <v>25</v>
      </c>
      <c r="F1126">
        <v>10</v>
      </c>
      <c r="G1126">
        <v>5175</v>
      </c>
      <c r="H1126">
        <v>541.30500000000006</v>
      </c>
      <c r="K1126" t="str">
        <f t="shared" si="51"/>
        <v>2.5%</v>
      </c>
      <c r="L1126" t="str">
        <f t="shared" si="52"/>
        <v>Need Improvement</v>
      </c>
      <c r="M1126" t="b">
        <f>TRUE()</f>
        <v>1</v>
      </c>
      <c r="N1126" t="b">
        <f>FALSE()</f>
        <v>0</v>
      </c>
      <c r="O1126" s="18" t="b">
        <f t="shared" si="53"/>
        <v>0</v>
      </c>
    </row>
    <row r="1127" spans="1:15" x14ac:dyDescent="0.35">
      <c r="A1127">
        <v>41821</v>
      </c>
      <c r="B1127">
        <v>2551</v>
      </c>
      <c r="C1127" t="s">
        <v>23</v>
      </c>
      <c r="D1127" t="s">
        <v>34</v>
      </c>
      <c r="E1127" t="s">
        <v>25</v>
      </c>
      <c r="F1127">
        <v>10</v>
      </c>
      <c r="G1127">
        <v>10200</v>
      </c>
      <c r="H1127">
        <v>3057.5519999999997</v>
      </c>
      <c r="K1127" t="str">
        <f t="shared" si="51"/>
        <v>5%</v>
      </c>
      <c r="L1127" t="str">
        <f t="shared" si="52"/>
        <v>Good</v>
      </c>
      <c r="M1127" t="b">
        <f>TRUE()</f>
        <v>1</v>
      </c>
      <c r="N1127" t="b">
        <f>FALSE()</f>
        <v>0</v>
      </c>
      <c r="O1127" s="18" t="b">
        <f t="shared" si="53"/>
        <v>0</v>
      </c>
    </row>
    <row r="1128" spans="1:15" x14ac:dyDescent="0.35">
      <c r="A1128">
        <v>41822</v>
      </c>
      <c r="B1128">
        <v>2552</v>
      </c>
      <c r="C1128" t="s">
        <v>26</v>
      </c>
      <c r="D1128" t="s">
        <v>34</v>
      </c>
      <c r="E1128" t="s">
        <v>25</v>
      </c>
      <c r="F1128">
        <v>8</v>
      </c>
      <c r="G1128">
        <v>5952</v>
      </c>
      <c r="H1128">
        <v>4679.4624000000003</v>
      </c>
      <c r="K1128" t="str">
        <f t="shared" si="51"/>
        <v>2.5%</v>
      </c>
      <c r="L1128" t="str">
        <f t="shared" si="52"/>
        <v>Need Improvement</v>
      </c>
      <c r="M1128" t="b">
        <f>TRUE()</f>
        <v>1</v>
      </c>
      <c r="N1128" t="b">
        <f>FALSE()</f>
        <v>0</v>
      </c>
      <c r="O1128" s="18" t="b">
        <f t="shared" si="53"/>
        <v>0</v>
      </c>
    </row>
    <row r="1129" spans="1:15" x14ac:dyDescent="0.35">
      <c r="A1129">
        <v>41823</v>
      </c>
      <c r="B1129">
        <v>2553</v>
      </c>
      <c r="C1129" t="s">
        <v>27</v>
      </c>
      <c r="D1129" t="s">
        <v>34</v>
      </c>
      <c r="E1129" t="s">
        <v>28</v>
      </c>
      <c r="F1129">
        <v>9</v>
      </c>
      <c r="G1129">
        <v>2308.5</v>
      </c>
      <c r="H1129">
        <v>4884.7860000000001</v>
      </c>
      <c r="K1129" t="str">
        <f t="shared" si="51"/>
        <v>1.5%</v>
      </c>
      <c r="L1129" t="str">
        <f t="shared" si="52"/>
        <v>Need Improvement</v>
      </c>
      <c r="M1129" t="b">
        <f>TRUE()</f>
        <v>1</v>
      </c>
      <c r="N1129" t="b">
        <f>FALSE()</f>
        <v>0</v>
      </c>
      <c r="O1129" s="18" t="b">
        <f t="shared" si="53"/>
        <v>0</v>
      </c>
    </row>
    <row r="1130" spans="1:15" x14ac:dyDescent="0.35">
      <c r="A1130">
        <v>41824</v>
      </c>
      <c r="B1130">
        <v>2554</v>
      </c>
      <c r="C1130" t="s">
        <v>23</v>
      </c>
      <c r="D1130" t="s">
        <v>34</v>
      </c>
      <c r="E1130" t="s">
        <v>28</v>
      </c>
      <c r="F1130">
        <v>9</v>
      </c>
      <c r="G1130">
        <v>6831</v>
      </c>
      <c r="H1130">
        <v>5122.1115</v>
      </c>
      <c r="K1130" t="str">
        <f t="shared" si="51"/>
        <v>2.5%</v>
      </c>
      <c r="L1130" t="str">
        <f t="shared" si="52"/>
        <v>Good</v>
      </c>
      <c r="M1130" t="b">
        <f>TRUE()</f>
        <v>1</v>
      </c>
      <c r="N1130" t="b">
        <f>FALSE()</f>
        <v>0</v>
      </c>
      <c r="O1130" s="18" t="b">
        <f t="shared" si="53"/>
        <v>0</v>
      </c>
    </row>
    <row r="1131" spans="1:15" x14ac:dyDescent="0.35">
      <c r="A1131">
        <v>41825</v>
      </c>
      <c r="B1131">
        <v>2555</v>
      </c>
      <c r="C1131" t="s">
        <v>26</v>
      </c>
      <c r="D1131" t="s">
        <v>34</v>
      </c>
      <c r="E1131" t="s">
        <v>28</v>
      </c>
      <c r="F1131">
        <v>9</v>
      </c>
      <c r="G1131">
        <v>5872.5</v>
      </c>
      <c r="H1131">
        <v>774.97424999999998</v>
      </c>
      <c r="K1131" t="str">
        <f t="shared" si="51"/>
        <v>2.5%</v>
      </c>
      <c r="L1131" t="str">
        <f t="shared" si="52"/>
        <v>Need Improvement</v>
      </c>
      <c r="M1131" t="b">
        <f>TRUE()</f>
        <v>1</v>
      </c>
      <c r="N1131" t="b">
        <f>FALSE()</f>
        <v>0</v>
      </c>
      <c r="O1131" s="18" t="b">
        <f t="shared" si="53"/>
        <v>0</v>
      </c>
    </row>
    <row r="1132" spans="1:15" x14ac:dyDescent="0.35">
      <c r="A1132">
        <v>41826</v>
      </c>
      <c r="B1132">
        <v>2556</v>
      </c>
      <c r="C1132" t="s">
        <v>27</v>
      </c>
      <c r="D1132" t="s">
        <v>34</v>
      </c>
      <c r="E1132" t="s">
        <v>29</v>
      </c>
      <c r="F1132">
        <v>9</v>
      </c>
      <c r="G1132">
        <v>10260</v>
      </c>
      <c r="H1132">
        <v>2513.9565000000002</v>
      </c>
      <c r="K1132" t="str">
        <f t="shared" si="51"/>
        <v>5%</v>
      </c>
      <c r="L1132" t="str">
        <f t="shared" si="52"/>
        <v>Good</v>
      </c>
      <c r="M1132" t="b">
        <f>TRUE()</f>
        <v>1</v>
      </c>
      <c r="N1132" t="b">
        <f>FALSE()</f>
        <v>0</v>
      </c>
      <c r="O1132" s="18" t="b">
        <f t="shared" si="53"/>
        <v>0</v>
      </c>
    </row>
    <row r="1133" spans="1:15" x14ac:dyDescent="0.35">
      <c r="A1133">
        <v>41827</v>
      </c>
      <c r="B1133">
        <v>2557</v>
      </c>
      <c r="C1133" t="s">
        <v>23</v>
      </c>
      <c r="D1133" t="s">
        <v>34</v>
      </c>
      <c r="E1133" t="s">
        <v>29</v>
      </c>
      <c r="F1133">
        <v>6</v>
      </c>
      <c r="G1133">
        <v>5751</v>
      </c>
      <c r="H1133">
        <v>2803.4207999999999</v>
      </c>
      <c r="K1133" t="str">
        <f t="shared" si="51"/>
        <v>2.5%</v>
      </c>
      <c r="L1133" t="str">
        <f t="shared" si="52"/>
        <v>Need Improvement</v>
      </c>
      <c r="M1133" t="b">
        <f>TRUE()</f>
        <v>1</v>
      </c>
      <c r="N1133" t="b">
        <f>FALSE()</f>
        <v>0</v>
      </c>
      <c r="O1133" s="18" t="b">
        <f t="shared" si="53"/>
        <v>0</v>
      </c>
    </row>
    <row r="1134" spans="1:15" x14ac:dyDescent="0.35">
      <c r="A1134">
        <v>41828</v>
      </c>
      <c r="B1134">
        <v>2558</v>
      </c>
      <c r="C1134" t="s">
        <v>26</v>
      </c>
      <c r="D1134" t="s">
        <v>34</v>
      </c>
      <c r="E1134" t="s">
        <v>29</v>
      </c>
      <c r="F1134">
        <v>6</v>
      </c>
      <c r="G1134">
        <v>8964</v>
      </c>
      <c r="H1134">
        <v>2641.4666999999999</v>
      </c>
      <c r="K1134" t="str">
        <f t="shared" si="51"/>
        <v>2.5%</v>
      </c>
      <c r="L1134" t="str">
        <f t="shared" si="52"/>
        <v>Need Improvement</v>
      </c>
      <c r="M1134" t="b">
        <f>TRUE()</f>
        <v>1</v>
      </c>
      <c r="N1134" t="b">
        <f>FALSE()</f>
        <v>0</v>
      </c>
      <c r="O1134" s="18" t="b">
        <f t="shared" si="53"/>
        <v>0</v>
      </c>
    </row>
    <row r="1135" spans="1:15" x14ac:dyDescent="0.35">
      <c r="A1135">
        <v>41829</v>
      </c>
      <c r="B1135">
        <v>2559</v>
      </c>
      <c r="C1135" t="s">
        <v>27</v>
      </c>
      <c r="D1135" t="s">
        <v>34</v>
      </c>
      <c r="E1135" t="s">
        <v>25</v>
      </c>
      <c r="F1135">
        <v>7</v>
      </c>
      <c r="G1135">
        <v>4536</v>
      </c>
      <c r="H1135">
        <v>503.79839999999996</v>
      </c>
      <c r="K1135" t="str">
        <f t="shared" si="51"/>
        <v>1.5%</v>
      </c>
      <c r="L1135" t="str">
        <f t="shared" si="52"/>
        <v>Need Improvement</v>
      </c>
      <c r="M1135" t="b">
        <f>TRUE()</f>
        <v>1</v>
      </c>
      <c r="N1135" t="b">
        <f>FALSE()</f>
        <v>0</v>
      </c>
      <c r="O1135" s="18" t="b">
        <f t="shared" si="53"/>
        <v>0</v>
      </c>
    </row>
    <row r="1136" spans="1:15" x14ac:dyDescent="0.35">
      <c r="A1136">
        <v>41828</v>
      </c>
      <c r="B1136">
        <v>2560</v>
      </c>
      <c r="C1136" t="s">
        <v>23</v>
      </c>
      <c r="D1136" t="s">
        <v>34</v>
      </c>
      <c r="E1136" t="s">
        <v>25</v>
      </c>
      <c r="F1136">
        <v>6</v>
      </c>
      <c r="G1136">
        <v>1791</v>
      </c>
      <c r="H1136">
        <v>805.23360000000002</v>
      </c>
      <c r="K1136" t="str">
        <f t="shared" si="51"/>
        <v>1.5%</v>
      </c>
      <c r="L1136" t="str">
        <f t="shared" si="52"/>
        <v>Need Improvement</v>
      </c>
      <c r="M1136" t="b">
        <f>TRUE()</f>
        <v>1</v>
      </c>
      <c r="N1136" t="b">
        <f>FALSE()</f>
        <v>0</v>
      </c>
      <c r="O1136" s="18" t="b">
        <f t="shared" si="53"/>
        <v>0</v>
      </c>
    </row>
    <row r="1137" spans="1:15" x14ac:dyDescent="0.35">
      <c r="A1137">
        <v>41829</v>
      </c>
      <c r="B1137">
        <v>2561</v>
      </c>
      <c r="C1137" t="s">
        <v>26</v>
      </c>
      <c r="D1137" t="s">
        <v>34</v>
      </c>
      <c r="E1137" t="s">
        <v>25</v>
      </c>
      <c r="F1137">
        <v>8</v>
      </c>
      <c r="G1137">
        <v>13020</v>
      </c>
      <c r="H1137">
        <v>4309.0992000000006</v>
      </c>
      <c r="K1137" t="str">
        <f t="shared" si="51"/>
        <v>5%</v>
      </c>
      <c r="L1137" t="str">
        <f t="shared" si="52"/>
        <v>Good</v>
      </c>
      <c r="M1137" t="b">
        <f>TRUE()</f>
        <v>1</v>
      </c>
      <c r="N1137" t="b">
        <f>FALSE()</f>
        <v>0</v>
      </c>
      <c r="O1137" s="18" t="b">
        <f t="shared" si="53"/>
        <v>0</v>
      </c>
    </row>
    <row r="1138" spans="1:15" x14ac:dyDescent="0.35">
      <c r="A1138">
        <v>40909</v>
      </c>
      <c r="B1138">
        <v>2616</v>
      </c>
      <c r="C1138" t="s">
        <v>27</v>
      </c>
      <c r="D1138" t="s">
        <v>35</v>
      </c>
      <c r="E1138" t="s">
        <v>28</v>
      </c>
      <c r="F1138">
        <v>8</v>
      </c>
      <c r="G1138">
        <v>9744</v>
      </c>
      <c r="H1138">
        <v>904.73039999999992</v>
      </c>
      <c r="K1138" t="str">
        <f t="shared" si="51"/>
        <v>2.5%</v>
      </c>
      <c r="L1138" t="str">
        <f t="shared" si="52"/>
        <v>Need Improvement</v>
      </c>
      <c r="M1138" t="b">
        <f>TRUE()</f>
        <v>1</v>
      </c>
      <c r="N1138" t="b">
        <f>FALSE()</f>
        <v>0</v>
      </c>
      <c r="O1138" s="18" t="b">
        <f t="shared" si="53"/>
        <v>0</v>
      </c>
    </row>
    <row r="1139" spans="1:15" x14ac:dyDescent="0.35">
      <c r="A1139">
        <v>40910</v>
      </c>
      <c r="B1139">
        <v>2251</v>
      </c>
      <c r="C1139" t="s">
        <v>23</v>
      </c>
      <c r="D1139" t="s">
        <v>35</v>
      </c>
      <c r="E1139" t="s">
        <v>29</v>
      </c>
      <c r="F1139">
        <v>8</v>
      </c>
      <c r="G1139">
        <v>9600</v>
      </c>
      <c r="H1139">
        <v>741.12</v>
      </c>
      <c r="K1139" t="str">
        <f t="shared" si="51"/>
        <v>2.5%</v>
      </c>
      <c r="L1139" t="str">
        <f t="shared" si="52"/>
        <v>Need Improvement</v>
      </c>
      <c r="M1139" t="b">
        <f>TRUE()</f>
        <v>1</v>
      </c>
      <c r="N1139" t="b">
        <f>FALSE()</f>
        <v>0</v>
      </c>
      <c r="O1139" s="18" t="b">
        <f t="shared" si="53"/>
        <v>0</v>
      </c>
    </row>
    <row r="1140" spans="1:15" x14ac:dyDescent="0.35">
      <c r="A1140">
        <v>40911</v>
      </c>
      <c r="B1140">
        <v>2617</v>
      </c>
      <c r="C1140" t="s">
        <v>23</v>
      </c>
      <c r="D1140" t="s">
        <v>35</v>
      </c>
      <c r="E1140" t="s">
        <v>28</v>
      </c>
      <c r="F1140">
        <v>10</v>
      </c>
      <c r="G1140">
        <v>14450</v>
      </c>
      <c r="H1140">
        <v>2875.8389999999999</v>
      </c>
      <c r="K1140" t="str">
        <f t="shared" si="51"/>
        <v>5%</v>
      </c>
      <c r="L1140" t="str">
        <f t="shared" si="52"/>
        <v>Good</v>
      </c>
      <c r="M1140" t="b">
        <f>TRUE()</f>
        <v>1</v>
      </c>
      <c r="N1140" t="b">
        <f>FALSE()</f>
        <v>0</v>
      </c>
      <c r="O1140" s="18" t="b">
        <f t="shared" si="53"/>
        <v>0</v>
      </c>
    </row>
    <row r="1141" spans="1:15" x14ac:dyDescent="0.35">
      <c r="A1141">
        <v>40913</v>
      </c>
      <c r="B1141">
        <v>2252</v>
      </c>
      <c r="C1141" t="s">
        <v>26</v>
      </c>
      <c r="D1141" t="s">
        <v>35</v>
      </c>
      <c r="E1141" t="s">
        <v>29</v>
      </c>
      <c r="F1141">
        <v>10</v>
      </c>
      <c r="G1141">
        <v>10750</v>
      </c>
      <c r="H1141">
        <v>928.58500000000004</v>
      </c>
      <c r="K1141" t="str">
        <f t="shared" si="51"/>
        <v>5%</v>
      </c>
      <c r="L1141" t="str">
        <f t="shared" si="52"/>
        <v>Good</v>
      </c>
      <c r="M1141" t="b">
        <f>TRUE()</f>
        <v>1</v>
      </c>
      <c r="N1141" t="b">
        <f>FALSE()</f>
        <v>0</v>
      </c>
      <c r="O1141" s="18" t="b">
        <f t="shared" si="53"/>
        <v>0</v>
      </c>
    </row>
    <row r="1142" spans="1:15" x14ac:dyDescent="0.35">
      <c r="A1142">
        <v>40914</v>
      </c>
      <c r="B1142">
        <v>2618</v>
      </c>
      <c r="C1142" t="s">
        <v>26</v>
      </c>
      <c r="D1142" t="s">
        <v>35</v>
      </c>
      <c r="E1142" t="s">
        <v>28</v>
      </c>
      <c r="F1142">
        <v>8</v>
      </c>
      <c r="G1142">
        <v>2520</v>
      </c>
      <c r="H1142">
        <v>2920.4279999999999</v>
      </c>
      <c r="K1142" t="str">
        <f t="shared" si="51"/>
        <v>1.5%</v>
      </c>
      <c r="L1142" t="str">
        <f t="shared" si="52"/>
        <v>Need Improvement</v>
      </c>
      <c r="M1142" t="b">
        <f>TRUE()</f>
        <v>1</v>
      </c>
      <c r="N1142" t="b">
        <f>FALSE()</f>
        <v>0</v>
      </c>
      <c r="O1142" s="18" t="b">
        <f t="shared" si="53"/>
        <v>0</v>
      </c>
    </row>
    <row r="1143" spans="1:15" x14ac:dyDescent="0.35">
      <c r="A1143">
        <v>40915</v>
      </c>
      <c r="B1143">
        <v>2253</v>
      </c>
      <c r="C1143" t="s">
        <v>27</v>
      </c>
      <c r="D1143" t="s">
        <v>35</v>
      </c>
      <c r="E1143" t="s">
        <v>25</v>
      </c>
      <c r="F1143">
        <v>6</v>
      </c>
      <c r="G1143">
        <v>1674</v>
      </c>
      <c r="H1143">
        <v>571.16880000000003</v>
      </c>
      <c r="K1143" t="str">
        <f t="shared" si="51"/>
        <v>1.5%</v>
      </c>
      <c r="L1143" t="str">
        <f t="shared" si="52"/>
        <v>Need Improvement</v>
      </c>
      <c r="M1143" t="b">
        <f>TRUE()</f>
        <v>1</v>
      </c>
      <c r="N1143" t="b">
        <f>FALSE()</f>
        <v>0</v>
      </c>
      <c r="O1143" s="18" t="b">
        <f t="shared" si="53"/>
        <v>0</v>
      </c>
    </row>
    <row r="1144" spans="1:15" x14ac:dyDescent="0.35">
      <c r="A1144">
        <v>40916</v>
      </c>
      <c r="B1144">
        <v>2619</v>
      </c>
      <c r="C1144" t="s">
        <v>27</v>
      </c>
      <c r="D1144" t="s">
        <v>35</v>
      </c>
      <c r="E1144" t="s">
        <v>29</v>
      </c>
      <c r="F1144">
        <v>8</v>
      </c>
      <c r="G1144">
        <v>6084</v>
      </c>
      <c r="H1144">
        <v>4072.2240000000002</v>
      </c>
      <c r="K1144" t="str">
        <f t="shared" si="51"/>
        <v>2.5%</v>
      </c>
      <c r="L1144" t="str">
        <f t="shared" si="52"/>
        <v>Need Improvement</v>
      </c>
      <c r="M1144" t="b">
        <f>TRUE()</f>
        <v>1</v>
      </c>
      <c r="N1144" t="b">
        <f>FALSE()</f>
        <v>0</v>
      </c>
      <c r="O1144" s="18" t="b">
        <f t="shared" si="53"/>
        <v>0</v>
      </c>
    </row>
    <row r="1145" spans="1:15" x14ac:dyDescent="0.35">
      <c r="A1145">
        <v>40917</v>
      </c>
      <c r="B1145">
        <v>2254</v>
      </c>
      <c r="C1145" t="s">
        <v>23</v>
      </c>
      <c r="D1145" t="s">
        <v>35</v>
      </c>
      <c r="E1145" t="s">
        <v>25</v>
      </c>
      <c r="F1145">
        <v>7</v>
      </c>
      <c r="G1145">
        <v>11466</v>
      </c>
      <c r="H1145">
        <v>5305.8914999999997</v>
      </c>
      <c r="K1145" t="str">
        <f t="shared" si="51"/>
        <v>5%</v>
      </c>
      <c r="L1145" t="str">
        <f t="shared" si="52"/>
        <v>Good</v>
      </c>
      <c r="M1145" t="b">
        <f>TRUE()</f>
        <v>1</v>
      </c>
      <c r="N1145" t="b">
        <f>FALSE()</f>
        <v>0</v>
      </c>
      <c r="O1145" s="18" t="b">
        <f t="shared" si="53"/>
        <v>0</v>
      </c>
    </row>
    <row r="1146" spans="1:15" x14ac:dyDescent="0.35">
      <c r="A1146">
        <v>40918</v>
      </c>
      <c r="B1146">
        <v>2620</v>
      </c>
      <c r="C1146" t="s">
        <v>23</v>
      </c>
      <c r="D1146" t="s">
        <v>35</v>
      </c>
      <c r="E1146" t="s">
        <v>29</v>
      </c>
      <c r="F1146">
        <v>9</v>
      </c>
      <c r="G1146">
        <v>2529</v>
      </c>
      <c r="H1146">
        <v>1095.3099</v>
      </c>
      <c r="K1146" t="str">
        <f t="shared" si="51"/>
        <v>1.5%</v>
      </c>
      <c r="L1146" t="str">
        <f t="shared" si="52"/>
        <v>Need Improvement</v>
      </c>
      <c r="M1146" t="b">
        <f>TRUE()</f>
        <v>1</v>
      </c>
      <c r="N1146" t="b">
        <f>FALSE()</f>
        <v>0</v>
      </c>
      <c r="O1146" s="18" t="b">
        <f t="shared" si="53"/>
        <v>0</v>
      </c>
    </row>
    <row r="1147" spans="1:15" x14ac:dyDescent="0.35">
      <c r="A1147">
        <v>40919</v>
      </c>
      <c r="B1147">
        <v>2622</v>
      </c>
      <c r="C1147" t="s">
        <v>27</v>
      </c>
      <c r="D1147" t="s">
        <v>35</v>
      </c>
      <c r="E1147" t="s">
        <v>25</v>
      </c>
      <c r="F1147">
        <v>9</v>
      </c>
      <c r="G1147">
        <v>5386.5</v>
      </c>
      <c r="H1147">
        <v>2413.6906500000005</v>
      </c>
      <c r="K1147" t="str">
        <f t="shared" si="51"/>
        <v>2.5%</v>
      </c>
      <c r="L1147" t="str">
        <f t="shared" si="52"/>
        <v>Need Improvement</v>
      </c>
      <c r="M1147" t="b">
        <f>TRUE()</f>
        <v>1</v>
      </c>
      <c r="N1147" t="b">
        <f>FALSE()</f>
        <v>0</v>
      </c>
      <c r="O1147" s="18" t="b">
        <f t="shared" si="53"/>
        <v>0</v>
      </c>
    </row>
    <row r="1148" spans="1:15" x14ac:dyDescent="0.35">
      <c r="A1148">
        <v>40920</v>
      </c>
      <c r="B1148">
        <v>2623</v>
      </c>
      <c r="C1148" t="s">
        <v>23</v>
      </c>
      <c r="D1148" t="s">
        <v>35</v>
      </c>
      <c r="E1148" t="s">
        <v>25</v>
      </c>
      <c r="F1148">
        <v>6</v>
      </c>
      <c r="G1148">
        <v>8928</v>
      </c>
      <c r="H1148">
        <v>3718.5120000000002</v>
      </c>
      <c r="K1148" t="str">
        <f t="shared" si="51"/>
        <v>2.5%</v>
      </c>
      <c r="L1148" t="str">
        <f t="shared" si="52"/>
        <v>Need Improvement</v>
      </c>
      <c r="M1148" t="b">
        <f>TRUE()</f>
        <v>1</v>
      </c>
      <c r="N1148" t="b">
        <f>FALSE()</f>
        <v>0</v>
      </c>
      <c r="O1148" s="18" t="b">
        <f t="shared" si="53"/>
        <v>0</v>
      </c>
    </row>
    <row r="1149" spans="1:15" x14ac:dyDescent="0.35">
      <c r="A1149">
        <v>40921</v>
      </c>
      <c r="B1149">
        <v>2624</v>
      </c>
      <c r="C1149" t="s">
        <v>26</v>
      </c>
      <c r="D1149" t="s">
        <v>35</v>
      </c>
      <c r="E1149" t="s">
        <v>25</v>
      </c>
      <c r="F1149">
        <v>9</v>
      </c>
      <c r="G1149">
        <v>5346</v>
      </c>
      <c r="H1149">
        <v>5565.1859999999997</v>
      </c>
      <c r="K1149" t="str">
        <f t="shared" si="51"/>
        <v>2.5%</v>
      </c>
      <c r="L1149" t="str">
        <f t="shared" si="52"/>
        <v>Good</v>
      </c>
      <c r="M1149" t="b">
        <f>TRUE()</f>
        <v>1</v>
      </c>
      <c r="N1149" t="b">
        <f>FALSE()</f>
        <v>0</v>
      </c>
      <c r="O1149" s="18" t="b">
        <f t="shared" si="53"/>
        <v>0</v>
      </c>
    </row>
    <row r="1150" spans="1:15" x14ac:dyDescent="0.35">
      <c r="A1150">
        <v>40922</v>
      </c>
      <c r="B1150">
        <v>2625</v>
      </c>
      <c r="C1150" t="s">
        <v>27</v>
      </c>
      <c r="D1150" t="s">
        <v>35</v>
      </c>
      <c r="E1150" t="s">
        <v>28</v>
      </c>
      <c r="F1150">
        <v>7</v>
      </c>
      <c r="G1150">
        <v>11103.75</v>
      </c>
      <c r="H1150">
        <v>2948.0456249999997</v>
      </c>
      <c r="K1150" t="str">
        <f t="shared" si="51"/>
        <v>5%</v>
      </c>
      <c r="L1150" t="str">
        <f t="shared" si="52"/>
        <v>Good</v>
      </c>
      <c r="M1150" t="b">
        <f>TRUE()</f>
        <v>1</v>
      </c>
      <c r="N1150" t="b">
        <f>FALSE()</f>
        <v>0</v>
      </c>
      <c r="O1150" s="18" t="b">
        <f t="shared" si="53"/>
        <v>0</v>
      </c>
    </row>
    <row r="1151" spans="1:15" x14ac:dyDescent="0.35">
      <c r="A1151">
        <v>40923</v>
      </c>
      <c r="B1151">
        <v>2626</v>
      </c>
      <c r="C1151" t="s">
        <v>23</v>
      </c>
      <c r="D1151" t="s">
        <v>35</v>
      </c>
      <c r="E1151" t="s">
        <v>28</v>
      </c>
      <c r="F1151">
        <v>6</v>
      </c>
      <c r="G1151">
        <v>1872</v>
      </c>
      <c r="H1151">
        <v>1645.1136000000001</v>
      </c>
      <c r="K1151" t="str">
        <f t="shared" si="51"/>
        <v>1.5%</v>
      </c>
      <c r="L1151" t="str">
        <f t="shared" si="52"/>
        <v>Need Improvement</v>
      </c>
      <c r="M1151" t="b">
        <f>TRUE()</f>
        <v>1</v>
      </c>
      <c r="N1151" t="b">
        <f>FALSE()</f>
        <v>0</v>
      </c>
      <c r="O1151" s="18" t="b">
        <f t="shared" si="53"/>
        <v>0</v>
      </c>
    </row>
    <row r="1152" spans="1:15" x14ac:dyDescent="0.35">
      <c r="A1152">
        <v>40924</v>
      </c>
      <c r="B1152">
        <v>2262</v>
      </c>
      <c r="C1152" t="s">
        <v>27</v>
      </c>
      <c r="D1152" t="s">
        <v>35</v>
      </c>
      <c r="E1152" t="s">
        <v>25</v>
      </c>
      <c r="F1152">
        <v>9</v>
      </c>
      <c r="G1152">
        <v>1984.5</v>
      </c>
      <c r="H1152">
        <v>1616.9705999999999</v>
      </c>
      <c r="K1152" t="str">
        <f t="shared" si="51"/>
        <v>1.5%</v>
      </c>
      <c r="L1152" t="str">
        <f t="shared" si="52"/>
        <v>Need Improvement</v>
      </c>
      <c r="M1152" t="b">
        <f>TRUE()</f>
        <v>1</v>
      </c>
      <c r="N1152" t="b">
        <f>FALSE()</f>
        <v>0</v>
      </c>
      <c r="O1152" s="18" t="b">
        <f t="shared" si="53"/>
        <v>0</v>
      </c>
    </row>
    <row r="1153" spans="1:15" x14ac:dyDescent="0.35">
      <c r="A1153">
        <v>40925</v>
      </c>
      <c r="B1153">
        <v>2627</v>
      </c>
      <c r="C1153" t="s">
        <v>26</v>
      </c>
      <c r="D1153" t="s">
        <v>35</v>
      </c>
      <c r="E1153" t="s">
        <v>28</v>
      </c>
      <c r="F1153">
        <v>6</v>
      </c>
      <c r="G1153">
        <v>7344</v>
      </c>
      <c r="H1153">
        <v>5129.7839999999997</v>
      </c>
      <c r="K1153" t="str">
        <f t="shared" si="51"/>
        <v>2.5%</v>
      </c>
      <c r="L1153" t="str">
        <f t="shared" si="52"/>
        <v>Good</v>
      </c>
      <c r="M1153" t="b">
        <f>TRUE()</f>
        <v>1</v>
      </c>
      <c r="N1153" t="b">
        <f>FALSE()</f>
        <v>0</v>
      </c>
      <c r="O1153" s="18" t="b">
        <f t="shared" si="53"/>
        <v>0</v>
      </c>
    </row>
    <row r="1154" spans="1:15" x14ac:dyDescent="0.35">
      <c r="A1154">
        <v>40926</v>
      </c>
      <c r="B1154">
        <v>2263</v>
      </c>
      <c r="C1154" t="s">
        <v>23</v>
      </c>
      <c r="D1154" t="s">
        <v>35</v>
      </c>
      <c r="E1154" t="s">
        <v>25</v>
      </c>
      <c r="F1154">
        <v>9</v>
      </c>
      <c r="G1154">
        <v>12645</v>
      </c>
      <c r="H1154">
        <v>2667.5892000000003</v>
      </c>
      <c r="K1154" t="str">
        <f t="shared" si="51"/>
        <v>5%</v>
      </c>
      <c r="L1154" t="str">
        <f t="shared" si="52"/>
        <v>Good</v>
      </c>
      <c r="M1154" t="b">
        <f>TRUE()</f>
        <v>1</v>
      </c>
      <c r="N1154" t="b">
        <f>FALSE()</f>
        <v>0</v>
      </c>
      <c r="O1154" s="18" t="b">
        <f t="shared" si="53"/>
        <v>0</v>
      </c>
    </row>
    <row r="1155" spans="1:15" x14ac:dyDescent="0.35">
      <c r="A1155">
        <v>40927</v>
      </c>
      <c r="B1155">
        <v>2628</v>
      </c>
      <c r="C1155" t="s">
        <v>27</v>
      </c>
      <c r="D1155" t="s">
        <v>35</v>
      </c>
      <c r="E1155" t="s">
        <v>29</v>
      </c>
      <c r="F1155">
        <v>6</v>
      </c>
      <c r="G1155">
        <v>5751</v>
      </c>
      <c r="H1155">
        <v>3564.6615000000002</v>
      </c>
      <c r="K1155" t="str">
        <f t="shared" ref="K1155:K1218" si="54">IF(G1155&gt;10000,"5%",IF(AND(G1155&gt;=5000,G1155&lt;10000),"2.5%","1.5%"))</f>
        <v>2.5%</v>
      </c>
      <c r="L1155" t="str">
        <f t="shared" ref="L1155:L1218" si="55">IF(OR(G1155&gt;10000,H1155&gt;=5000),"Good","Need Improvement")</f>
        <v>Need Improvement</v>
      </c>
      <c r="M1155" t="b">
        <f>TRUE()</f>
        <v>1</v>
      </c>
      <c r="N1155" t="b">
        <f>FALSE()</f>
        <v>0</v>
      </c>
      <c r="O1155" s="18" t="b">
        <f t="shared" ref="O1155:O1218" si="56">NOT(M1155)</f>
        <v>0</v>
      </c>
    </row>
    <row r="1156" spans="1:15" x14ac:dyDescent="0.35">
      <c r="A1156">
        <v>40928</v>
      </c>
      <c r="B1156">
        <v>2264</v>
      </c>
      <c r="C1156" t="s">
        <v>26</v>
      </c>
      <c r="D1156" t="s">
        <v>35</v>
      </c>
      <c r="E1156" t="s">
        <v>25</v>
      </c>
      <c r="F1156">
        <v>8</v>
      </c>
      <c r="G1156">
        <v>11952</v>
      </c>
      <c r="H1156">
        <v>2329.4447999999998</v>
      </c>
      <c r="K1156" t="str">
        <f t="shared" si="54"/>
        <v>5%</v>
      </c>
      <c r="L1156" t="str">
        <f t="shared" si="55"/>
        <v>Good</v>
      </c>
      <c r="M1156" t="b">
        <f>TRUE()</f>
        <v>1</v>
      </c>
      <c r="N1156" t="b">
        <f>FALSE()</f>
        <v>0</v>
      </c>
      <c r="O1156" s="18" t="b">
        <f t="shared" si="56"/>
        <v>0</v>
      </c>
    </row>
    <row r="1157" spans="1:15" x14ac:dyDescent="0.35">
      <c r="A1157">
        <v>40929</v>
      </c>
      <c r="B1157">
        <v>2629</v>
      </c>
      <c r="C1157" t="s">
        <v>23</v>
      </c>
      <c r="D1157" t="s">
        <v>35</v>
      </c>
      <c r="E1157" t="s">
        <v>29</v>
      </c>
      <c r="F1157">
        <v>8</v>
      </c>
      <c r="G1157">
        <v>9120</v>
      </c>
      <c r="H1157">
        <v>1475.16</v>
      </c>
      <c r="K1157" t="str">
        <f t="shared" si="54"/>
        <v>2.5%</v>
      </c>
      <c r="L1157" t="str">
        <f t="shared" si="55"/>
        <v>Need Improvement</v>
      </c>
      <c r="M1157" t="b">
        <f>TRUE()</f>
        <v>1</v>
      </c>
      <c r="N1157" t="b">
        <f>FALSE()</f>
        <v>0</v>
      </c>
      <c r="O1157" s="18" t="b">
        <f t="shared" si="56"/>
        <v>0</v>
      </c>
    </row>
    <row r="1158" spans="1:15" x14ac:dyDescent="0.35">
      <c r="A1158">
        <v>40930</v>
      </c>
      <c r="B1158">
        <v>2265</v>
      </c>
      <c r="C1158" t="s">
        <v>27</v>
      </c>
      <c r="D1158" t="s">
        <v>35</v>
      </c>
      <c r="E1158" t="s">
        <v>28</v>
      </c>
      <c r="F1158">
        <v>10</v>
      </c>
      <c r="G1158">
        <v>5520</v>
      </c>
      <c r="H1158">
        <v>4529.1600000000008</v>
      </c>
      <c r="K1158" t="str">
        <f t="shared" si="54"/>
        <v>2.5%</v>
      </c>
      <c r="L1158" t="str">
        <f t="shared" si="55"/>
        <v>Need Improvement</v>
      </c>
      <c r="M1158" t="b">
        <f>TRUE()</f>
        <v>1</v>
      </c>
      <c r="N1158" t="b">
        <f>FALSE()</f>
        <v>0</v>
      </c>
      <c r="O1158" s="18" t="b">
        <f t="shared" si="56"/>
        <v>0</v>
      </c>
    </row>
    <row r="1159" spans="1:15" x14ac:dyDescent="0.35">
      <c r="A1159">
        <v>40931</v>
      </c>
      <c r="B1159">
        <v>2630</v>
      </c>
      <c r="C1159" t="s">
        <v>26</v>
      </c>
      <c r="D1159" t="s">
        <v>35</v>
      </c>
      <c r="E1159" t="s">
        <v>29</v>
      </c>
      <c r="F1159">
        <v>8</v>
      </c>
      <c r="G1159">
        <v>4048</v>
      </c>
      <c r="H1159">
        <v>3422.1792</v>
      </c>
      <c r="K1159" t="str">
        <f t="shared" si="54"/>
        <v>1.5%</v>
      </c>
      <c r="L1159" t="str">
        <f t="shared" si="55"/>
        <v>Need Improvement</v>
      </c>
      <c r="M1159" t="b">
        <f>TRUE()</f>
        <v>1</v>
      </c>
      <c r="N1159" t="b">
        <f>FALSE()</f>
        <v>0</v>
      </c>
      <c r="O1159" s="18" t="b">
        <f t="shared" si="56"/>
        <v>0</v>
      </c>
    </row>
    <row r="1160" spans="1:15" x14ac:dyDescent="0.35">
      <c r="A1160">
        <v>40932</v>
      </c>
      <c r="B1160">
        <v>2266</v>
      </c>
      <c r="C1160" t="s">
        <v>23</v>
      </c>
      <c r="D1160" t="s">
        <v>35</v>
      </c>
      <c r="E1160" t="s">
        <v>28</v>
      </c>
      <c r="F1160">
        <v>8</v>
      </c>
      <c r="G1160">
        <v>2106</v>
      </c>
      <c r="H1160">
        <v>718.98839999999996</v>
      </c>
      <c r="K1160" t="str">
        <f t="shared" si="54"/>
        <v>1.5%</v>
      </c>
      <c r="L1160" t="str">
        <f t="shared" si="55"/>
        <v>Need Improvement</v>
      </c>
      <c r="M1160" t="b">
        <f>TRUE()</f>
        <v>1</v>
      </c>
      <c r="N1160" t="b">
        <f>FALSE()</f>
        <v>0</v>
      </c>
      <c r="O1160" s="18" t="b">
        <f t="shared" si="56"/>
        <v>0</v>
      </c>
    </row>
    <row r="1161" spans="1:15" x14ac:dyDescent="0.35">
      <c r="A1161">
        <v>40933</v>
      </c>
      <c r="B1161">
        <v>2631</v>
      </c>
      <c r="C1161" t="s">
        <v>27</v>
      </c>
      <c r="D1161" t="s">
        <v>35</v>
      </c>
      <c r="E1161" t="s">
        <v>25</v>
      </c>
      <c r="F1161">
        <v>9</v>
      </c>
      <c r="G1161">
        <v>10215</v>
      </c>
      <c r="H1161">
        <v>2739.0500999999999</v>
      </c>
      <c r="K1161" t="str">
        <f t="shared" si="54"/>
        <v>5%</v>
      </c>
      <c r="L1161" t="str">
        <f t="shared" si="55"/>
        <v>Good</v>
      </c>
      <c r="M1161" t="b">
        <f>TRUE()</f>
        <v>1</v>
      </c>
      <c r="N1161" t="b">
        <f>FALSE()</f>
        <v>0</v>
      </c>
      <c r="O1161" s="18" t="b">
        <f t="shared" si="56"/>
        <v>0</v>
      </c>
    </row>
    <row r="1162" spans="1:15" x14ac:dyDescent="0.35">
      <c r="A1162">
        <v>40934</v>
      </c>
      <c r="B1162">
        <v>2267</v>
      </c>
      <c r="C1162" t="s">
        <v>26</v>
      </c>
      <c r="D1162" t="s">
        <v>35</v>
      </c>
      <c r="E1162" t="s">
        <v>28</v>
      </c>
      <c r="F1162">
        <v>8</v>
      </c>
      <c r="G1162">
        <v>3960</v>
      </c>
      <c r="H1162">
        <v>1251.7560000000001</v>
      </c>
      <c r="K1162" t="str">
        <f t="shared" si="54"/>
        <v>1.5%</v>
      </c>
      <c r="L1162" t="str">
        <f t="shared" si="55"/>
        <v>Need Improvement</v>
      </c>
      <c r="M1162" t="b">
        <f>TRUE()</f>
        <v>1</v>
      </c>
      <c r="N1162" t="b">
        <f>FALSE()</f>
        <v>0</v>
      </c>
      <c r="O1162" s="18" t="b">
        <f t="shared" si="56"/>
        <v>0</v>
      </c>
    </row>
    <row r="1163" spans="1:15" x14ac:dyDescent="0.35">
      <c r="A1163">
        <v>40935</v>
      </c>
      <c r="B1163">
        <v>2632</v>
      </c>
      <c r="C1163" t="s">
        <v>23</v>
      </c>
      <c r="D1163" t="s">
        <v>35</v>
      </c>
      <c r="E1163" t="s">
        <v>25</v>
      </c>
      <c r="F1163">
        <v>10</v>
      </c>
      <c r="G1163">
        <v>10200</v>
      </c>
      <c r="H1163">
        <v>3237.4800000000005</v>
      </c>
      <c r="K1163" t="str">
        <f t="shared" si="54"/>
        <v>5%</v>
      </c>
      <c r="L1163" t="str">
        <f t="shared" si="55"/>
        <v>Good</v>
      </c>
      <c r="M1163" t="b">
        <f>TRUE()</f>
        <v>1</v>
      </c>
      <c r="N1163" t="b">
        <f>FALSE()</f>
        <v>0</v>
      </c>
      <c r="O1163" s="18" t="b">
        <f t="shared" si="56"/>
        <v>0</v>
      </c>
    </row>
    <row r="1164" spans="1:15" x14ac:dyDescent="0.35">
      <c r="A1164">
        <v>40936</v>
      </c>
      <c r="B1164">
        <v>2268</v>
      </c>
      <c r="C1164" t="s">
        <v>27</v>
      </c>
      <c r="D1164" t="s">
        <v>35</v>
      </c>
      <c r="E1164" t="s">
        <v>29</v>
      </c>
      <c r="F1164">
        <v>9</v>
      </c>
      <c r="G1164">
        <v>5022</v>
      </c>
      <c r="H1164">
        <v>1969.6284000000001</v>
      </c>
      <c r="K1164" t="str">
        <f t="shared" si="54"/>
        <v>2.5%</v>
      </c>
      <c r="L1164" t="str">
        <f t="shared" si="55"/>
        <v>Need Improvement</v>
      </c>
      <c r="M1164" t="b">
        <f>TRUE()</f>
        <v>1</v>
      </c>
      <c r="N1164" t="b">
        <f>FALSE()</f>
        <v>0</v>
      </c>
      <c r="O1164" s="18" t="b">
        <f t="shared" si="56"/>
        <v>0</v>
      </c>
    </row>
    <row r="1165" spans="1:15" x14ac:dyDescent="0.35">
      <c r="A1165">
        <v>40937</v>
      </c>
      <c r="B1165">
        <v>2633</v>
      </c>
      <c r="C1165" t="s">
        <v>26</v>
      </c>
      <c r="D1165" t="s">
        <v>35</v>
      </c>
      <c r="E1165" t="s">
        <v>25</v>
      </c>
      <c r="F1165">
        <v>9</v>
      </c>
      <c r="G1165">
        <v>2349</v>
      </c>
      <c r="H1165">
        <v>732.88800000000003</v>
      </c>
      <c r="K1165" t="str">
        <f t="shared" si="54"/>
        <v>1.5%</v>
      </c>
      <c r="L1165" t="str">
        <f t="shared" si="55"/>
        <v>Need Improvement</v>
      </c>
      <c r="M1165" t="b">
        <f>TRUE()</f>
        <v>1</v>
      </c>
      <c r="N1165" t="b">
        <f>FALSE()</f>
        <v>0</v>
      </c>
      <c r="O1165" s="18" t="b">
        <f t="shared" si="56"/>
        <v>0</v>
      </c>
    </row>
    <row r="1166" spans="1:15" x14ac:dyDescent="0.35">
      <c r="A1166">
        <v>40938</v>
      </c>
      <c r="B1166">
        <v>2269</v>
      </c>
      <c r="C1166" t="s">
        <v>23</v>
      </c>
      <c r="D1166" t="s">
        <v>35</v>
      </c>
      <c r="E1166" t="s">
        <v>29</v>
      </c>
      <c r="F1166">
        <v>8</v>
      </c>
      <c r="G1166">
        <v>4716</v>
      </c>
      <c r="H1166">
        <v>3420.6719999999996</v>
      </c>
      <c r="K1166" t="str">
        <f t="shared" si="54"/>
        <v>1.5%</v>
      </c>
      <c r="L1166" t="str">
        <f t="shared" si="55"/>
        <v>Need Improvement</v>
      </c>
      <c r="M1166" t="b">
        <f>TRUE()</f>
        <v>1</v>
      </c>
      <c r="N1166" t="b">
        <f>FALSE()</f>
        <v>0</v>
      </c>
      <c r="O1166" s="18" t="b">
        <f t="shared" si="56"/>
        <v>0</v>
      </c>
    </row>
    <row r="1167" spans="1:15" x14ac:dyDescent="0.35">
      <c r="A1167">
        <v>40939</v>
      </c>
      <c r="B1167">
        <v>2634</v>
      </c>
      <c r="C1167" t="s">
        <v>27</v>
      </c>
      <c r="D1167" t="s">
        <v>35</v>
      </c>
      <c r="E1167" t="s">
        <v>28</v>
      </c>
      <c r="F1167">
        <v>10</v>
      </c>
      <c r="G1167">
        <v>8460</v>
      </c>
      <c r="H1167">
        <v>4686.84</v>
      </c>
      <c r="K1167" t="str">
        <f t="shared" si="54"/>
        <v>2.5%</v>
      </c>
      <c r="L1167" t="str">
        <f t="shared" si="55"/>
        <v>Need Improvement</v>
      </c>
      <c r="M1167" t="b">
        <f>TRUE()</f>
        <v>1</v>
      </c>
      <c r="N1167" t="b">
        <f>FALSE()</f>
        <v>0</v>
      </c>
      <c r="O1167" s="18" t="b">
        <f t="shared" si="56"/>
        <v>0</v>
      </c>
    </row>
    <row r="1168" spans="1:15" x14ac:dyDescent="0.35">
      <c r="A1168">
        <v>40940</v>
      </c>
      <c r="B1168">
        <v>2270</v>
      </c>
      <c r="C1168" t="s">
        <v>26</v>
      </c>
      <c r="D1168" t="s">
        <v>35</v>
      </c>
      <c r="E1168" t="s">
        <v>29</v>
      </c>
      <c r="F1168">
        <v>10</v>
      </c>
      <c r="G1168">
        <v>7515</v>
      </c>
      <c r="H1168">
        <v>1917.3269999999998</v>
      </c>
      <c r="K1168" t="str">
        <f t="shared" si="54"/>
        <v>2.5%</v>
      </c>
      <c r="L1168" t="str">
        <f t="shared" si="55"/>
        <v>Need Improvement</v>
      </c>
      <c r="M1168" t="b">
        <f>TRUE()</f>
        <v>1</v>
      </c>
      <c r="N1168" t="b">
        <f>FALSE()</f>
        <v>0</v>
      </c>
      <c r="O1168" s="18" t="b">
        <f t="shared" si="56"/>
        <v>0</v>
      </c>
    </row>
    <row r="1169" spans="1:15" x14ac:dyDescent="0.35">
      <c r="A1169">
        <v>40941</v>
      </c>
      <c r="B1169">
        <v>2635</v>
      </c>
      <c r="C1169" t="s">
        <v>23</v>
      </c>
      <c r="D1169" t="s">
        <v>35</v>
      </c>
      <c r="E1169" t="s">
        <v>28</v>
      </c>
      <c r="F1169">
        <v>7</v>
      </c>
      <c r="G1169">
        <v>4772.25</v>
      </c>
      <c r="H1169">
        <v>2592.127125</v>
      </c>
      <c r="K1169" t="str">
        <f t="shared" si="54"/>
        <v>1.5%</v>
      </c>
      <c r="L1169" t="str">
        <f t="shared" si="55"/>
        <v>Need Improvement</v>
      </c>
      <c r="M1169" t="b">
        <f>TRUE()</f>
        <v>1</v>
      </c>
      <c r="N1169" t="b">
        <f>FALSE()</f>
        <v>0</v>
      </c>
      <c r="O1169" s="18" t="b">
        <f t="shared" si="56"/>
        <v>0</v>
      </c>
    </row>
    <row r="1170" spans="1:15" x14ac:dyDescent="0.35">
      <c r="A1170">
        <v>40942</v>
      </c>
      <c r="B1170">
        <v>2271</v>
      </c>
      <c r="C1170" t="s">
        <v>27</v>
      </c>
      <c r="D1170" t="s">
        <v>35</v>
      </c>
      <c r="E1170" t="s">
        <v>25</v>
      </c>
      <c r="F1170">
        <v>10</v>
      </c>
      <c r="G1170">
        <v>4140</v>
      </c>
      <c r="H1170">
        <v>706.077</v>
      </c>
      <c r="K1170" t="str">
        <f t="shared" si="54"/>
        <v>1.5%</v>
      </c>
      <c r="L1170" t="str">
        <f t="shared" si="55"/>
        <v>Need Improvement</v>
      </c>
      <c r="M1170" t="b">
        <f>TRUE()</f>
        <v>1</v>
      </c>
      <c r="N1170" t="b">
        <f>FALSE()</f>
        <v>0</v>
      </c>
      <c r="O1170" s="18" t="b">
        <f t="shared" si="56"/>
        <v>0</v>
      </c>
    </row>
    <row r="1171" spans="1:15" x14ac:dyDescent="0.35">
      <c r="A1171">
        <v>40943</v>
      </c>
      <c r="B1171">
        <v>2636</v>
      </c>
      <c r="C1171" t="s">
        <v>26</v>
      </c>
      <c r="D1171" t="s">
        <v>35</v>
      </c>
      <c r="E1171" t="s">
        <v>28</v>
      </c>
      <c r="F1171">
        <v>10</v>
      </c>
      <c r="G1171">
        <v>5880</v>
      </c>
      <c r="H1171">
        <v>4880.3999999999996</v>
      </c>
      <c r="K1171" t="str">
        <f t="shared" si="54"/>
        <v>2.5%</v>
      </c>
      <c r="L1171" t="str">
        <f t="shared" si="55"/>
        <v>Need Improvement</v>
      </c>
      <c r="M1171" t="b">
        <f>TRUE()</f>
        <v>1</v>
      </c>
      <c r="N1171" t="b">
        <f>FALSE()</f>
        <v>0</v>
      </c>
      <c r="O1171" s="18" t="b">
        <f t="shared" si="56"/>
        <v>0</v>
      </c>
    </row>
    <row r="1172" spans="1:15" x14ac:dyDescent="0.35">
      <c r="A1172">
        <v>40944</v>
      </c>
      <c r="B1172">
        <v>2272</v>
      </c>
      <c r="C1172" t="s">
        <v>23</v>
      </c>
      <c r="D1172" t="s">
        <v>35</v>
      </c>
      <c r="E1172" t="s">
        <v>25</v>
      </c>
      <c r="F1172">
        <v>9</v>
      </c>
      <c r="G1172">
        <v>8464.5</v>
      </c>
      <c r="H1172">
        <v>2866.0797000000002</v>
      </c>
      <c r="K1172" t="str">
        <f t="shared" si="54"/>
        <v>2.5%</v>
      </c>
      <c r="L1172" t="str">
        <f t="shared" si="55"/>
        <v>Need Improvement</v>
      </c>
      <c r="M1172" t="b">
        <f>TRUE()</f>
        <v>1</v>
      </c>
      <c r="N1172" t="b">
        <f>FALSE()</f>
        <v>0</v>
      </c>
      <c r="O1172" s="18" t="b">
        <f t="shared" si="56"/>
        <v>0</v>
      </c>
    </row>
    <row r="1173" spans="1:15" x14ac:dyDescent="0.35">
      <c r="A1173">
        <v>40945</v>
      </c>
      <c r="B1173">
        <v>2637</v>
      </c>
      <c r="C1173" t="s">
        <v>27</v>
      </c>
      <c r="D1173" t="s">
        <v>35</v>
      </c>
      <c r="E1173" t="s">
        <v>29</v>
      </c>
      <c r="F1173">
        <v>10</v>
      </c>
      <c r="G1173">
        <v>8360</v>
      </c>
      <c r="H1173">
        <v>3410.0439999999999</v>
      </c>
      <c r="K1173" t="str">
        <f t="shared" si="54"/>
        <v>2.5%</v>
      </c>
      <c r="L1173" t="str">
        <f t="shared" si="55"/>
        <v>Need Improvement</v>
      </c>
      <c r="M1173" t="b">
        <f>TRUE()</f>
        <v>1</v>
      </c>
      <c r="N1173" t="b">
        <f>FALSE()</f>
        <v>0</v>
      </c>
      <c r="O1173" s="18" t="b">
        <f t="shared" si="56"/>
        <v>0</v>
      </c>
    </row>
    <row r="1174" spans="1:15" x14ac:dyDescent="0.35">
      <c r="A1174">
        <v>40946</v>
      </c>
      <c r="B1174">
        <v>2273</v>
      </c>
      <c r="C1174" t="s">
        <v>26</v>
      </c>
      <c r="D1174" t="s">
        <v>35</v>
      </c>
      <c r="E1174" t="s">
        <v>25</v>
      </c>
      <c r="F1174">
        <v>10</v>
      </c>
      <c r="G1174">
        <v>12300</v>
      </c>
      <c r="H1174">
        <v>4463.67</v>
      </c>
      <c r="K1174" t="str">
        <f t="shared" si="54"/>
        <v>5%</v>
      </c>
      <c r="L1174" t="str">
        <f t="shared" si="55"/>
        <v>Good</v>
      </c>
      <c r="M1174" t="b">
        <f>TRUE()</f>
        <v>1</v>
      </c>
      <c r="N1174" t="b">
        <f>FALSE()</f>
        <v>0</v>
      </c>
      <c r="O1174" s="18" t="b">
        <f t="shared" si="56"/>
        <v>0</v>
      </c>
    </row>
    <row r="1175" spans="1:15" x14ac:dyDescent="0.35">
      <c r="A1175">
        <v>40947</v>
      </c>
      <c r="B1175">
        <v>2638</v>
      </c>
      <c r="C1175" t="s">
        <v>23</v>
      </c>
      <c r="D1175" t="s">
        <v>35</v>
      </c>
      <c r="E1175" t="s">
        <v>29</v>
      </c>
      <c r="F1175">
        <v>9</v>
      </c>
      <c r="G1175">
        <v>1741.5</v>
      </c>
      <c r="H1175">
        <v>1337.1237000000001</v>
      </c>
      <c r="K1175" t="str">
        <f t="shared" si="54"/>
        <v>1.5%</v>
      </c>
      <c r="L1175" t="str">
        <f t="shared" si="55"/>
        <v>Need Improvement</v>
      </c>
      <c r="M1175" t="b">
        <f>TRUE()</f>
        <v>1</v>
      </c>
      <c r="N1175" t="b">
        <f>FALSE()</f>
        <v>0</v>
      </c>
      <c r="O1175" s="18" t="b">
        <f t="shared" si="56"/>
        <v>0</v>
      </c>
    </row>
    <row r="1176" spans="1:15" x14ac:dyDescent="0.35">
      <c r="A1176">
        <v>40948</v>
      </c>
      <c r="B1176">
        <v>2274</v>
      </c>
      <c r="C1176" t="s">
        <v>27</v>
      </c>
      <c r="D1176" t="s">
        <v>35</v>
      </c>
      <c r="E1176" t="s">
        <v>28</v>
      </c>
      <c r="F1176">
        <v>7</v>
      </c>
      <c r="G1176">
        <v>1932</v>
      </c>
      <c r="H1176">
        <v>4193.4059999999999</v>
      </c>
      <c r="K1176" t="str">
        <f t="shared" si="54"/>
        <v>1.5%</v>
      </c>
      <c r="L1176" t="str">
        <f t="shared" si="55"/>
        <v>Need Improvement</v>
      </c>
      <c r="M1176" t="b">
        <f>TRUE()</f>
        <v>1</v>
      </c>
      <c r="N1176" t="b">
        <f>FALSE()</f>
        <v>0</v>
      </c>
      <c r="O1176" s="18" t="b">
        <f t="shared" si="56"/>
        <v>0</v>
      </c>
    </row>
    <row r="1177" spans="1:15" x14ac:dyDescent="0.35">
      <c r="A1177">
        <v>40949</v>
      </c>
      <c r="B1177">
        <v>2639</v>
      </c>
      <c r="C1177" t="s">
        <v>26</v>
      </c>
      <c r="D1177" t="s">
        <v>35</v>
      </c>
      <c r="E1177" t="s">
        <v>29</v>
      </c>
      <c r="F1177">
        <v>10</v>
      </c>
      <c r="G1177">
        <v>2085</v>
      </c>
      <c r="H1177">
        <v>822.32400000000007</v>
      </c>
      <c r="K1177" t="str">
        <f t="shared" si="54"/>
        <v>1.5%</v>
      </c>
      <c r="L1177" t="str">
        <f t="shared" si="55"/>
        <v>Need Improvement</v>
      </c>
      <c r="M1177" t="b">
        <f>TRUE()</f>
        <v>1</v>
      </c>
      <c r="N1177" t="b">
        <f>FALSE()</f>
        <v>0</v>
      </c>
      <c r="O1177" s="18" t="b">
        <f t="shared" si="56"/>
        <v>0</v>
      </c>
    </row>
    <row r="1178" spans="1:15" x14ac:dyDescent="0.35">
      <c r="A1178">
        <v>40950</v>
      </c>
      <c r="B1178">
        <v>2275</v>
      </c>
      <c r="C1178" t="s">
        <v>23</v>
      </c>
      <c r="D1178" t="s">
        <v>35</v>
      </c>
      <c r="E1178" t="s">
        <v>28</v>
      </c>
      <c r="F1178">
        <v>10</v>
      </c>
      <c r="G1178">
        <v>5640</v>
      </c>
      <c r="H1178">
        <v>2078.34</v>
      </c>
      <c r="K1178" t="str">
        <f t="shared" si="54"/>
        <v>2.5%</v>
      </c>
      <c r="L1178" t="str">
        <f t="shared" si="55"/>
        <v>Need Improvement</v>
      </c>
      <c r="M1178" t="b">
        <f>TRUE()</f>
        <v>1</v>
      </c>
      <c r="N1178" t="b">
        <f>FALSE()</f>
        <v>0</v>
      </c>
      <c r="O1178" s="18" t="b">
        <f t="shared" si="56"/>
        <v>0</v>
      </c>
    </row>
    <row r="1179" spans="1:15" x14ac:dyDescent="0.35">
      <c r="A1179">
        <v>40951</v>
      </c>
      <c r="B1179">
        <v>2658</v>
      </c>
      <c r="C1179" t="s">
        <v>27</v>
      </c>
      <c r="D1179" t="s">
        <v>35</v>
      </c>
      <c r="E1179" t="s">
        <v>25</v>
      </c>
      <c r="F1179">
        <v>7</v>
      </c>
      <c r="G1179">
        <v>2016</v>
      </c>
      <c r="H1179">
        <v>1776.096</v>
      </c>
      <c r="K1179" t="str">
        <f t="shared" si="54"/>
        <v>1.5%</v>
      </c>
      <c r="L1179" t="str">
        <f t="shared" si="55"/>
        <v>Need Improvement</v>
      </c>
      <c r="M1179" t="b">
        <f>TRUE()</f>
        <v>1</v>
      </c>
      <c r="N1179" t="b">
        <f>FALSE()</f>
        <v>0</v>
      </c>
      <c r="O1179" s="18" t="b">
        <f t="shared" si="56"/>
        <v>0</v>
      </c>
    </row>
    <row r="1180" spans="1:15" x14ac:dyDescent="0.35">
      <c r="A1180">
        <v>40952</v>
      </c>
      <c r="B1180">
        <v>2659</v>
      </c>
      <c r="C1180" t="s">
        <v>23</v>
      </c>
      <c r="D1180" t="s">
        <v>35</v>
      </c>
      <c r="E1180" t="s">
        <v>25</v>
      </c>
      <c r="F1180">
        <v>10</v>
      </c>
      <c r="G1180">
        <v>4890</v>
      </c>
      <c r="H1180">
        <v>926.89949999999999</v>
      </c>
      <c r="K1180" t="str">
        <f t="shared" si="54"/>
        <v>1.5%</v>
      </c>
      <c r="L1180" t="str">
        <f t="shared" si="55"/>
        <v>Need Improvement</v>
      </c>
      <c r="M1180" t="b">
        <f>TRUE()</f>
        <v>1</v>
      </c>
      <c r="N1180" t="b">
        <f>FALSE()</f>
        <v>0</v>
      </c>
      <c r="O1180" s="18" t="b">
        <f t="shared" si="56"/>
        <v>0</v>
      </c>
    </row>
    <row r="1181" spans="1:15" x14ac:dyDescent="0.35">
      <c r="A1181">
        <v>40953</v>
      </c>
      <c r="B1181">
        <v>2660</v>
      </c>
      <c r="C1181" t="s">
        <v>26</v>
      </c>
      <c r="D1181" t="s">
        <v>35</v>
      </c>
      <c r="E1181" t="s">
        <v>25</v>
      </c>
      <c r="F1181">
        <v>10</v>
      </c>
      <c r="G1181">
        <v>8850</v>
      </c>
      <c r="H1181">
        <v>2768.28</v>
      </c>
      <c r="K1181" t="str">
        <f t="shared" si="54"/>
        <v>2.5%</v>
      </c>
      <c r="L1181" t="str">
        <f t="shared" si="55"/>
        <v>Need Improvement</v>
      </c>
      <c r="M1181" t="b">
        <f>TRUE()</f>
        <v>1</v>
      </c>
      <c r="N1181" t="b">
        <f>FALSE()</f>
        <v>0</v>
      </c>
      <c r="O1181" s="18" t="b">
        <f t="shared" si="56"/>
        <v>0</v>
      </c>
    </row>
    <row r="1182" spans="1:15" x14ac:dyDescent="0.35">
      <c r="A1182">
        <v>40954</v>
      </c>
      <c r="B1182">
        <v>2661</v>
      </c>
      <c r="C1182" t="s">
        <v>27</v>
      </c>
      <c r="D1182" t="s">
        <v>35</v>
      </c>
      <c r="E1182" t="s">
        <v>28</v>
      </c>
      <c r="F1182">
        <v>6</v>
      </c>
      <c r="G1182">
        <v>5859</v>
      </c>
      <c r="H1182">
        <v>3330.8415000000005</v>
      </c>
      <c r="K1182" t="str">
        <f t="shared" si="54"/>
        <v>2.5%</v>
      </c>
      <c r="L1182" t="str">
        <f t="shared" si="55"/>
        <v>Need Improvement</v>
      </c>
      <c r="M1182" t="b">
        <f>TRUE()</f>
        <v>1</v>
      </c>
      <c r="N1182" t="b">
        <f>FALSE()</f>
        <v>0</v>
      </c>
      <c r="O1182" s="18" t="b">
        <f t="shared" si="56"/>
        <v>0</v>
      </c>
    </row>
    <row r="1183" spans="1:15" x14ac:dyDescent="0.35">
      <c r="A1183">
        <v>40955</v>
      </c>
      <c r="B1183">
        <v>2662</v>
      </c>
      <c r="C1183" t="s">
        <v>23</v>
      </c>
      <c r="D1183" t="s">
        <v>35</v>
      </c>
      <c r="E1183" t="s">
        <v>28</v>
      </c>
      <c r="F1183">
        <v>10</v>
      </c>
      <c r="G1183">
        <v>7785</v>
      </c>
      <c r="H1183">
        <v>1109.1030000000001</v>
      </c>
      <c r="K1183" t="str">
        <f t="shared" si="54"/>
        <v>2.5%</v>
      </c>
      <c r="L1183" t="str">
        <f t="shared" si="55"/>
        <v>Need Improvement</v>
      </c>
      <c r="M1183" t="b">
        <f>TRUE()</f>
        <v>1</v>
      </c>
      <c r="N1183" t="b">
        <f>FALSE()</f>
        <v>0</v>
      </c>
      <c r="O1183" s="18" t="b">
        <f t="shared" si="56"/>
        <v>0</v>
      </c>
    </row>
    <row r="1184" spans="1:15" x14ac:dyDescent="0.35">
      <c r="A1184">
        <v>40956</v>
      </c>
      <c r="B1184">
        <v>2298</v>
      </c>
      <c r="C1184" t="s">
        <v>27</v>
      </c>
      <c r="D1184" t="s">
        <v>35</v>
      </c>
      <c r="E1184" t="s">
        <v>25</v>
      </c>
      <c r="F1184">
        <v>8</v>
      </c>
      <c r="G1184">
        <v>6876</v>
      </c>
      <c r="H1184">
        <v>4302.0840000000007</v>
      </c>
      <c r="K1184" t="str">
        <f t="shared" si="54"/>
        <v>2.5%</v>
      </c>
      <c r="L1184" t="str">
        <f t="shared" si="55"/>
        <v>Need Improvement</v>
      </c>
      <c r="M1184" t="b">
        <f>TRUE()</f>
        <v>1</v>
      </c>
      <c r="N1184" t="b">
        <f>FALSE()</f>
        <v>0</v>
      </c>
      <c r="O1184" s="18" t="b">
        <f t="shared" si="56"/>
        <v>0</v>
      </c>
    </row>
    <row r="1185" spans="1:15" x14ac:dyDescent="0.35">
      <c r="A1185">
        <v>40957</v>
      </c>
      <c r="B1185">
        <v>2383</v>
      </c>
      <c r="C1185" t="s">
        <v>23</v>
      </c>
      <c r="D1185" t="s">
        <v>35</v>
      </c>
      <c r="E1185" t="s">
        <v>28</v>
      </c>
      <c r="F1185">
        <v>10</v>
      </c>
      <c r="G1185">
        <v>11000</v>
      </c>
      <c r="H1185">
        <v>811.58</v>
      </c>
      <c r="K1185" t="str">
        <f t="shared" si="54"/>
        <v>5%</v>
      </c>
      <c r="L1185" t="str">
        <f t="shared" si="55"/>
        <v>Good</v>
      </c>
      <c r="M1185" t="b">
        <f>TRUE()</f>
        <v>1</v>
      </c>
      <c r="N1185" t="b">
        <f>FALSE()</f>
        <v>0</v>
      </c>
      <c r="O1185" s="18" t="b">
        <f t="shared" si="56"/>
        <v>0</v>
      </c>
    </row>
    <row r="1186" spans="1:15" x14ac:dyDescent="0.35">
      <c r="A1186">
        <v>40958</v>
      </c>
      <c r="B1186">
        <v>2748</v>
      </c>
      <c r="C1186" t="s">
        <v>27</v>
      </c>
      <c r="D1186" t="s">
        <v>35</v>
      </c>
      <c r="E1186" t="s">
        <v>25</v>
      </c>
      <c r="F1186">
        <v>8</v>
      </c>
      <c r="G1186">
        <v>14160</v>
      </c>
      <c r="H1186">
        <v>1010.7407999999999</v>
      </c>
      <c r="K1186" t="str">
        <f t="shared" si="54"/>
        <v>5%</v>
      </c>
      <c r="L1186" t="str">
        <f t="shared" si="55"/>
        <v>Good</v>
      </c>
      <c r="M1186" t="b">
        <f>TRUE()</f>
        <v>1</v>
      </c>
      <c r="N1186" t="b">
        <f>FALSE()</f>
        <v>0</v>
      </c>
      <c r="O1186" s="18" t="b">
        <f t="shared" si="56"/>
        <v>0</v>
      </c>
    </row>
    <row r="1187" spans="1:15" x14ac:dyDescent="0.35">
      <c r="A1187">
        <v>40959</v>
      </c>
      <c r="B1187">
        <v>2384</v>
      </c>
      <c r="C1187" t="s">
        <v>26</v>
      </c>
      <c r="D1187" t="s">
        <v>35</v>
      </c>
      <c r="E1187" t="s">
        <v>28</v>
      </c>
      <c r="F1187">
        <v>7</v>
      </c>
      <c r="G1187">
        <v>4851</v>
      </c>
      <c r="H1187">
        <v>2858.93685</v>
      </c>
      <c r="K1187" t="str">
        <f t="shared" si="54"/>
        <v>1.5%</v>
      </c>
      <c r="L1187" t="str">
        <f t="shared" si="55"/>
        <v>Need Improvement</v>
      </c>
      <c r="M1187" t="b">
        <f>TRUE()</f>
        <v>1</v>
      </c>
      <c r="N1187" t="b">
        <f>FALSE()</f>
        <v>0</v>
      </c>
      <c r="O1187" s="18" t="b">
        <f t="shared" si="56"/>
        <v>0</v>
      </c>
    </row>
    <row r="1188" spans="1:15" x14ac:dyDescent="0.35">
      <c r="A1188">
        <v>40960</v>
      </c>
      <c r="B1188">
        <v>2749</v>
      </c>
      <c r="C1188" t="s">
        <v>23</v>
      </c>
      <c r="D1188" t="s">
        <v>35</v>
      </c>
      <c r="E1188" t="s">
        <v>25</v>
      </c>
      <c r="F1188">
        <v>7</v>
      </c>
      <c r="G1188">
        <v>10500</v>
      </c>
      <c r="H1188">
        <v>872.7600000000001</v>
      </c>
      <c r="K1188" t="str">
        <f t="shared" si="54"/>
        <v>5%</v>
      </c>
      <c r="L1188" t="str">
        <f t="shared" si="55"/>
        <v>Good</v>
      </c>
      <c r="M1188" t="b">
        <f>TRUE()</f>
        <v>1</v>
      </c>
      <c r="N1188" t="b">
        <f>FALSE()</f>
        <v>0</v>
      </c>
      <c r="O1188" s="18" t="b">
        <f t="shared" si="56"/>
        <v>0</v>
      </c>
    </row>
    <row r="1189" spans="1:15" x14ac:dyDescent="0.35">
      <c r="A1189">
        <v>40961</v>
      </c>
      <c r="B1189">
        <v>2385</v>
      </c>
      <c r="C1189" t="s">
        <v>27</v>
      </c>
      <c r="D1189" t="s">
        <v>35</v>
      </c>
      <c r="E1189" t="s">
        <v>29</v>
      </c>
      <c r="F1189">
        <v>10</v>
      </c>
      <c r="G1189">
        <v>13700</v>
      </c>
      <c r="H1189">
        <v>2335.0279999999998</v>
      </c>
      <c r="K1189" t="str">
        <f t="shared" si="54"/>
        <v>5%</v>
      </c>
      <c r="L1189" t="str">
        <f t="shared" si="55"/>
        <v>Good</v>
      </c>
      <c r="M1189" t="b">
        <f>TRUE()</f>
        <v>1</v>
      </c>
      <c r="N1189" t="b">
        <f>FALSE()</f>
        <v>0</v>
      </c>
      <c r="O1189" s="18" t="b">
        <f t="shared" si="56"/>
        <v>0</v>
      </c>
    </row>
    <row r="1190" spans="1:15" x14ac:dyDescent="0.35">
      <c r="A1190">
        <v>40962</v>
      </c>
      <c r="B1190">
        <v>2750</v>
      </c>
      <c r="C1190" t="s">
        <v>26</v>
      </c>
      <c r="D1190" t="s">
        <v>35</v>
      </c>
      <c r="E1190" t="s">
        <v>25</v>
      </c>
      <c r="F1190">
        <v>10</v>
      </c>
      <c r="G1190">
        <v>12450</v>
      </c>
      <c r="H1190">
        <v>4834.335</v>
      </c>
      <c r="K1190" t="str">
        <f t="shared" si="54"/>
        <v>5%</v>
      </c>
      <c r="L1190" t="str">
        <f t="shared" si="55"/>
        <v>Good</v>
      </c>
      <c r="M1190" t="b">
        <f>TRUE()</f>
        <v>1</v>
      </c>
      <c r="N1190" t="b">
        <f>FALSE()</f>
        <v>0</v>
      </c>
      <c r="O1190" s="18" t="b">
        <f t="shared" si="56"/>
        <v>0</v>
      </c>
    </row>
    <row r="1191" spans="1:15" x14ac:dyDescent="0.35">
      <c r="A1191">
        <v>40963</v>
      </c>
      <c r="B1191">
        <v>2386</v>
      </c>
      <c r="C1191" t="s">
        <v>23</v>
      </c>
      <c r="D1191" t="s">
        <v>35</v>
      </c>
      <c r="E1191" t="s">
        <v>29</v>
      </c>
      <c r="F1191">
        <v>7</v>
      </c>
      <c r="G1191">
        <v>4368</v>
      </c>
      <c r="H1191">
        <v>3318.5880000000002</v>
      </c>
      <c r="K1191" t="str">
        <f t="shared" si="54"/>
        <v>1.5%</v>
      </c>
      <c r="L1191" t="str">
        <f t="shared" si="55"/>
        <v>Need Improvement</v>
      </c>
      <c r="M1191" t="b">
        <f>TRUE()</f>
        <v>1</v>
      </c>
      <c r="N1191" t="b">
        <f>FALSE()</f>
        <v>0</v>
      </c>
      <c r="O1191" s="18" t="b">
        <f t="shared" si="56"/>
        <v>0</v>
      </c>
    </row>
    <row r="1192" spans="1:15" x14ac:dyDescent="0.35">
      <c r="A1192">
        <v>40964</v>
      </c>
      <c r="B1192">
        <v>2751</v>
      </c>
      <c r="C1192" t="s">
        <v>27</v>
      </c>
      <c r="D1192" t="s">
        <v>35</v>
      </c>
      <c r="E1192" t="s">
        <v>28</v>
      </c>
      <c r="F1192">
        <v>9</v>
      </c>
      <c r="G1192">
        <v>1795.5</v>
      </c>
      <c r="H1192">
        <v>1237.4585999999999</v>
      </c>
      <c r="K1192" t="str">
        <f t="shared" si="54"/>
        <v>1.5%</v>
      </c>
      <c r="L1192" t="str">
        <f t="shared" si="55"/>
        <v>Need Improvement</v>
      </c>
      <c r="M1192" t="b">
        <f>TRUE()</f>
        <v>1</v>
      </c>
      <c r="N1192" t="b">
        <f>FALSE()</f>
        <v>0</v>
      </c>
      <c r="O1192" s="18" t="b">
        <f t="shared" si="56"/>
        <v>0</v>
      </c>
    </row>
    <row r="1193" spans="1:15" x14ac:dyDescent="0.35">
      <c r="A1193">
        <v>40965</v>
      </c>
      <c r="B1193">
        <v>2387</v>
      </c>
      <c r="C1193" t="s">
        <v>26</v>
      </c>
      <c r="D1193" t="s">
        <v>35</v>
      </c>
      <c r="E1193" t="s">
        <v>29</v>
      </c>
      <c r="F1193">
        <v>6</v>
      </c>
      <c r="G1193">
        <v>9036</v>
      </c>
      <c r="H1193">
        <v>3571.4789999999994</v>
      </c>
      <c r="K1193" t="str">
        <f t="shared" si="54"/>
        <v>2.5%</v>
      </c>
      <c r="L1193" t="str">
        <f t="shared" si="55"/>
        <v>Need Improvement</v>
      </c>
      <c r="M1193" t="b">
        <f>TRUE()</f>
        <v>1</v>
      </c>
      <c r="N1193" t="b">
        <f>FALSE()</f>
        <v>0</v>
      </c>
      <c r="O1193" s="18" t="b">
        <f t="shared" si="56"/>
        <v>0</v>
      </c>
    </row>
    <row r="1194" spans="1:15" x14ac:dyDescent="0.35">
      <c r="A1194">
        <v>40966</v>
      </c>
      <c r="B1194">
        <v>2752</v>
      </c>
      <c r="C1194" t="s">
        <v>23</v>
      </c>
      <c r="D1194" t="s">
        <v>35</v>
      </c>
      <c r="E1194" t="s">
        <v>28</v>
      </c>
      <c r="F1194">
        <v>10</v>
      </c>
      <c r="G1194">
        <v>8100</v>
      </c>
      <c r="H1194">
        <v>1702.2149999999999</v>
      </c>
      <c r="K1194" t="str">
        <f t="shared" si="54"/>
        <v>2.5%</v>
      </c>
      <c r="L1194" t="str">
        <f t="shared" si="55"/>
        <v>Need Improvement</v>
      </c>
      <c r="M1194" t="b">
        <f>TRUE()</f>
        <v>1</v>
      </c>
      <c r="N1194" t="b">
        <f>FALSE()</f>
        <v>0</v>
      </c>
      <c r="O1194" s="18" t="b">
        <f t="shared" si="56"/>
        <v>0</v>
      </c>
    </row>
    <row r="1195" spans="1:15" x14ac:dyDescent="0.35">
      <c r="A1195">
        <v>40967</v>
      </c>
      <c r="B1195">
        <v>2388</v>
      </c>
      <c r="C1195" t="s">
        <v>27</v>
      </c>
      <c r="D1195" t="s">
        <v>35</v>
      </c>
      <c r="E1195" t="s">
        <v>25</v>
      </c>
      <c r="F1195">
        <v>7</v>
      </c>
      <c r="G1195">
        <v>1669.5</v>
      </c>
      <c r="H1195">
        <v>3289.7497500000004</v>
      </c>
      <c r="K1195" t="str">
        <f t="shared" si="54"/>
        <v>1.5%</v>
      </c>
      <c r="L1195" t="str">
        <f t="shared" si="55"/>
        <v>Need Improvement</v>
      </c>
      <c r="M1195" t="b">
        <f>TRUE()</f>
        <v>1</v>
      </c>
      <c r="N1195" t="b">
        <f>FALSE()</f>
        <v>0</v>
      </c>
      <c r="O1195" s="18" t="b">
        <f t="shared" si="56"/>
        <v>0</v>
      </c>
    </row>
    <row r="1196" spans="1:15" x14ac:dyDescent="0.35">
      <c r="A1196">
        <v>40969</v>
      </c>
      <c r="B1196">
        <v>2753</v>
      </c>
      <c r="C1196" t="s">
        <v>26</v>
      </c>
      <c r="D1196" t="s">
        <v>35</v>
      </c>
      <c r="E1196" t="s">
        <v>28</v>
      </c>
      <c r="F1196">
        <v>8</v>
      </c>
      <c r="G1196">
        <v>6888</v>
      </c>
      <c r="H1196">
        <v>1569.5455999999999</v>
      </c>
      <c r="K1196" t="str">
        <f t="shared" si="54"/>
        <v>2.5%</v>
      </c>
      <c r="L1196" t="str">
        <f t="shared" si="55"/>
        <v>Need Improvement</v>
      </c>
      <c r="M1196" t="b">
        <f>TRUE()</f>
        <v>1</v>
      </c>
      <c r="N1196" t="b">
        <f>FALSE()</f>
        <v>0</v>
      </c>
      <c r="O1196" s="18" t="b">
        <f t="shared" si="56"/>
        <v>0</v>
      </c>
    </row>
    <row r="1197" spans="1:15" x14ac:dyDescent="0.35">
      <c r="A1197">
        <v>40970</v>
      </c>
      <c r="B1197">
        <v>2389</v>
      </c>
      <c r="C1197" t="s">
        <v>23</v>
      </c>
      <c r="D1197" t="s">
        <v>35</v>
      </c>
      <c r="E1197" t="s">
        <v>25</v>
      </c>
      <c r="F1197">
        <v>8</v>
      </c>
      <c r="G1197">
        <v>3744</v>
      </c>
      <c r="H1197">
        <v>681.40800000000002</v>
      </c>
      <c r="K1197" t="str">
        <f t="shared" si="54"/>
        <v>1.5%</v>
      </c>
      <c r="L1197" t="str">
        <f t="shared" si="55"/>
        <v>Need Improvement</v>
      </c>
      <c r="M1197" t="b">
        <f>TRUE()</f>
        <v>1</v>
      </c>
      <c r="N1197" t="b">
        <f>FALSE()</f>
        <v>0</v>
      </c>
      <c r="O1197" s="18" t="b">
        <f t="shared" si="56"/>
        <v>0</v>
      </c>
    </row>
    <row r="1198" spans="1:15" x14ac:dyDescent="0.35">
      <c r="A1198">
        <v>40971</v>
      </c>
      <c r="B1198">
        <v>2754</v>
      </c>
      <c r="C1198" t="s">
        <v>27</v>
      </c>
      <c r="D1198" t="s">
        <v>35</v>
      </c>
      <c r="E1198" t="s">
        <v>29</v>
      </c>
      <c r="F1198">
        <v>10</v>
      </c>
      <c r="G1198">
        <v>2205</v>
      </c>
      <c r="H1198">
        <v>665.68949999999995</v>
      </c>
      <c r="K1198" t="str">
        <f t="shared" si="54"/>
        <v>1.5%</v>
      </c>
      <c r="L1198" t="str">
        <f t="shared" si="55"/>
        <v>Need Improvement</v>
      </c>
      <c r="M1198" t="b">
        <f>TRUE()</f>
        <v>1</v>
      </c>
      <c r="N1198" t="b">
        <f>FALSE()</f>
        <v>0</v>
      </c>
      <c r="O1198" s="18" t="b">
        <f t="shared" si="56"/>
        <v>0</v>
      </c>
    </row>
    <row r="1199" spans="1:15" x14ac:dyDescent="0.35">
      <c r="A1199">
        <v>40972</v>
      </c>
      <c r="B1199">
        <v>2390</v>
      </c>
      <c r="C1199" t="s">
        <v>26</v>
      </c>
      <c r="D1199" t="s">
        <v>35</v>
      </c>
      <c r="E1199" t="s">
        <v>25</v>
      </c>
      <c r="F1199">
        <v>8</v>
      </c>
      <c r="G1199">
        <v>11200</v>
      </c>
      <c r="H1199">
        <v>1729.28</v>
      </c>
      <c r="K1199" t="str">
        <f t="shared" si="54"/>
        <v>5%</v>
      </c>
      <c r="L1199" t="str">
        <f t="shared" si="55"/>
        <v>Good</v>
      </c>
      <c r="M1199" t="b">
        <f>TRUE()</f>
        <v>1</v>
      </c>
      <c r="N1199" t="b">
        <f>FALSE()</f>
        <v>0</v>
      </c>
      <c r="O1199" s="18" t="b">
        <f t="shared" si="56"/>
        <v>0</v>
      </c>
    </row>
    <row r="1200" spans="1:15" x14ac:dyDescent="0.35">
      <c r="A1200">
        <v>40973</v>
      </c>
      <c r="B1200">
        <v>2755</v>
      </c>
      <c r="C1200" t="s">
        <v>23</v>
      </c>
      <c r="D1200" t="s">
        <v>35</v>
      </c>
      <c r="E1200" t="s">
        <v>29</v>
      </c>
      <c r="F1200">
        <v>9</v>
      </c>
      <c r="G1200">
        <v>8676</v>
      </c>
      <c r="H1200">
        <v>2805.1677</v>
      </c>
      <c r="K1200" t="str">
        <f t="shared" si="54"/>
        <v>2.5%</v>
      </c>
      <c r="L1200" t="str">
        <f t="shared" si="55"/>
        <v>Need Improvement</v>
      </c>
      <c r="M1200" t="b">
        <f>TRUE()</f>
        <v>1</v>
      </c>
      <c r="N1200" t="b">
        <f>FALSE()</f>
        <v>0</v>
      </c>
      <c r="O1200" s="18" t="b">
        <f t="shared" si="56"/>
        <v>0</v>
      </c>
    </row>
    <row r="1201" spans="1:15" x14ac:dyDescent="0.35">
      <c r="A1201">
        <v>41339</v>
      </c>
      <c r="B1201">
        <v>2391</v>
      </c>
      <c r="C1201" t="s">
        <v>27</v>
      </c>
      <c r="D1201" t="s">
        <v>35</v>
      </c>
      <c r="E1201" t="s">
        <v>28</v>
      </c>
      <c r="F1201">
        <v>6</v>
      </c>
      <c r="G1201">
        <v>5292</v>
      </c>
      <c r="H1201">
        <v>3653.2439999999997</v>
      </c>
      <c r="K1201" t="str">
        <f t="shared" si="54"/>
        <v>2.5%</v>
      </c>
      <c r="L1201" t="str">
        <f t="shared" si="55"/>
        <v>Need Improvement</v>
      </c>
      <c r="M1201" t="b">
        <f>TRUE()</f>
        <v>1</v>
      </c>
      <c r="N1201" t="b">
        <f>FALSE()</f>
        <v>0</v>
      </c>
      <c r="O1201" s="18" t="b">
        <f t="shared" si="56"/>
        <v>0</v>
      </c>
    </row>
    <row r="1202" spans="1:15" x14ac:dyDescent="0.35">
      <c r="A1202">
        <v>41340</v>
      </c>
      <c r="B1202">
        <v>2756</v>
      </c>
      <c r="C1202" t="s">
        <v>26</v>
      </c>
      <c r="D1202" t="s">
        <v>35</v>
      </c>
      <c r="E1202" t="s">
        <v>29</v>
      </c>
      <c r="F1202">
        <v>9</v>
      </c>
      <c r="G1202">
        <v>6048</v>
      </c>
      <c r="H1202">
        <v>1563.1056000000001</v>
      </c>
      <c r="K1202" t="str">
        <f t="shared" si="54"/>
        <v>2.5%</v>
      </c>
      <c r="L1202" t="str">
        <f t="shared" si="55"/>
        <v>Need Improvement</v>
      </c>
      <c r="M1202" t="b">
        <f>TRUE()</f>
        <v>1</v>
      </c>
      <c r="N1202" t="b">
        <f>FALSE()</f>
        <v>0</v>
      </c>
      <c r="O1202" s="18" t="b">
        <f t="shared" si="56"/>
        <v>0</v>
      </c>
    </row>
    <row r="1203" spans="1:15" x14ac:dyDescent="0.35">
      <c r="A1203">
        <v>41341</v>
      </c>
      <c r="B1203">
        <v>2392</v>
      </c>
      <c r="C1203" t="s">
        <v>23</v>
      </c>
      <c r="D1203" t="s">
        <v>35</v>
      </c>
      <c r="E1203" t="s">
        <v>28</v>
      </c>
      <c r="F1203">
        <v>6</v>
      </c>
      <c r="G1203">
        <v>7371</v>
      </c>
      <c r="H1203">
        <v>2491.3980000000001</v>
      </c>
      <c r="K1203" t="str">
        <f t="shared" si="54"/>
        <v>2.5%</v>
      </c>
      <c r="L1203" t="str">
        <f t="shared" si="55"/>
        <v>Need Improvement</v>
      </c>
      <c r="M1203" t="b">
        <f>TRUE()</f>
        <v>1</v>
      </c>
      <c r="N1203" t="b">
        <f>FALSE()</f>
        <v>0</v>
      </c>
      <c r="O1203" s="18" t="b">
        <f t="shared" si="56"/>
        <v>0</v>
      </c>
    </row>
    <row r="1204" spans="1:15" x14ac:dyDescent="0.35">
      <c r="A1204">
        <v>41342</v>
      </c>
      <c r="B1204">
        <v>2757</v>
      </c>
      <c r="C1204" t="s">
        <v>27</v>
      </c>
      <c r="D1204" t="s">
        <v>35</v>
      </c>
      <c r="E1204" t="s">
        <v>25</v>
      </c>
      <c r="F1204">
        <v>7</v>
      </c>
      <c r="G1204">
        <v>4221</v>
      </c>
      <c r="H1204">
        <v>4334.9669999999996</v>
      </c>
      <c r="K1204" t="str">
        <f t="shared" si="54"/>
        <v>1.5%</v>
      </c>
      <c r="L1204" t="str">
        <f t="shared" si="55"/>
        <v>Need Improvement</v>
      </c>
      <c r="M1204" t="b">
        <f>TRUE()</f>
        <v>1</v>
      </c>
      <c r="N1204" t="b">
        <f>FALSE()</f>
        <v>0</v>
      </c>
      <c r="O1204" s="18" t="b">
        <f t="shared" si="56"/>
        <v>0</v>
      </c>
    </row>
    <row r="1205" spans="1:15" x14ac:dyDescent="0.35">
      <c r="A1205">
        <v>41343</v>
      </c>
      <c r="B1205">
        <v>2393</v>
      </c>
      <c r="C1205" t="s">
        <v>26</v>
      </c>
      <c r="D1205" t="s">
        <v>35</v>
      </c>
      <c r="E1205" t="s">
        <v>28</v>
      </c>
      <c r="F1205">
        <v>8</v>
      </c>
      <c r="G1205">
        <v>10880</v>
      </c>
      <c r="H1205">
        <v>2310.2592</v>
      </c>
      <c r="K1205" t="str">
        <f t="shared" si="54"/>
        <v>5%</v>
      </c>
      <c r="L1205" t="str">
        <f t="shared" si="55"/>
        <v>Good</v>
      </c>
      <c r="M1205" t="b">
        <f>TRUE()</f>
        <v>1</v>
      </c>
      <c r="N1205" t="b">
        <f>FALSE()</f>
        <v>0</v>
      </c>
      <c r="O1205" s="18" t="b">
        <f t="shared" si="56"/>
        <v>0</v>
      </c>
    </row>
    <row r="1206" spans="1:15" x14ac:dyDescent="0.35">
      <c r="A1206">
        <v>41344</v>
      </c>
      <c r="B1206">
        <v>2758</v>
      </c>
      <c r="C1206" t="s">
        <v>23</v>
      </c>
      <c r="D1206" t="s">
        <v>35</v>
      </c>
      <c r="E1206" t="s">
        <v>25</v>
      </c>
      <c r="F1206">
        <v>7</v>
      </c>
      <c r="G1206">
        <v>10710</v>
      </c>
      <c r="H1206">
        <v>5527.6987499999996</v>
      </c>
      <c r="K1206" t="str">
        <f t="shared" si="54"/>
        <v>5%</v>
      </c>
      <c r="L1206" t="str">
        <f t="shared" si="55"/>
        <v>Good</v>
      </c>
      <c r="M1206" t="b">
        <f>TRUE()</f>
        <v>1</v>
      </c>
      <c r="N1206" t="b">
        <f>FALSE()</f>
        <v>0</v>
      </c>
      <c r="O1206" s="18" t="b">
        <f t="shared" si="56"/>
        <v>0</v>
      </c>
    </row>
    <row r="1207" spans="1:15" x14ac:dyDescent="0.35">
      <c r="A1207">
        <v>41345</v>
      </c>
      <c r="B1207">
        <v>2394</v>
      </c>
      <c r="C1207" t="s">
        <v>27</v>
      </c>
      <c r="D1207" t="s">
        <v>35</v>
      </c>
      <c r="E1207" t="s">
        <v>29</v>
      </c>
      <c r="F1207">
        <v>10</v>
      </c>
      <c r="G1207">
        <v>2000</v>
      </c>
      <c r="H1207">
        <v>623.80000000000007</v>
      </c>
      <c r="K1207" t="str">
        <f t="shared" si="54"/>
        <v>1.5%</v>
      </c>
      <c r="L1207" t="str">
        <f t="shared" si="55"/>
        <v>Need Improvement</v>
      </c>
      <c r="M1207" t="b">
        <f>TRUE()</f>
        <v>1</v>
      </c>
      <c r="N1207" t="b">
        <f>FALSE()</f>
        <v>0</v>
      </c>
      <c r="O1207" s="18" t="b">
        <f t="shared" si="56"/>
        <v>0</v>
      </c>
    </row>
    <row r="1208" spans="1:15" x14ac:dyDescent="0.35">
      <c r="A1208">
        <v>41346</v>
      </c>
      <c r="B1208">
        <v>2759</v>
      </c>
      <c r="C1208" t="s">
        <v>26</v>
      </c>
      <c r="D1208" t="s">
        <v>35</v>
      </c>
      <c r="E1208" t="s">
        <v>25</v>
      </c>
      <c r="F1208">
        <v>9</v>
      </c>
      <c r="G1208">
        <v>9045</v>
      </c>
      <c r="H1208">
        <v>545.95619999999997</v>
      </c>
      <c r="K1208" t="str">
        <f t="shared" si="54"/>
        <v>2.5%</v>
      </c>
      <c r="L1208" t="str">
        <f t="shared" si="55"/>
        <v>Need Improvement</v>
      </c>
      <c r="M1208" t="b">
        <f>TRUE()</f>
        <v>1</v>
      </c>
      <c r="N1208" t="b">
        <f>FALSE()</f>
        <v>0</v>
      </c>
      <c r="O1208" s="18" t="b">
        <f t="shared" si="56"/>
        <v>0</v>
      </c>
    </row>
    <row r="1209" spans="1:15" x14ac:dyDescent="0.35">
      <c r="A1209">
        <v>41347</v>
      </c>
      <c r="B1209">
        <v>2395</v>
      </c>
      <c r="C1209" t="s">
        <v>23</v>
      </c>
      <c r="D1209" t="s">
        <v>35</v>
      </c>
      <c r="E1209" t="s">
        <v>29</v>
      </c>
      <c r="F1209">
        <v>10</v>
      </c>
      <c r="G1209">
        <v>5400</v>
      </c>
      <c r="H1209">
        <v>5366.25</v>
      </c>
      <c r="K1209" t="str">
        <f t="shared" si="54"/>
        <v>2.5%</v>
      </c>
      <c r="L1209" t="str">
        <f t="shared" si="55"/>
        <v>Good</v>
      </c>
      <c r="M1209" t="b">
        <f>TRUE()</f>
        <v>1</v>
      </c>
      <c r="N1209" t="b">
        <f>FALSE()</f>
        <v>0</v>
      </c>
      <c r="O1209" s="18" t="b">
        <f t="shared" si="56"/>
        <v>0</v>
      </c>
    </row>
    <row r="1210" spans="1:15" x14ac:dyDescent="0.35">
      <c r="A1210">
        <v>41348</v>
      </c>
      <c r="B1210">
        <v>2760</v>
      </c>
      <c r="C1210" t="s">
        <v>27</v>
      </c>
      <c r="D1210" t="s">
        <v>35</v>
      </c>
      <c r="E1210" t="s">
        <v>28</v>
      </c>
      <c r="F1210">
        <v>8</v>
      </c>
      <c r="G1210">
        <v>9248</v>
      </c>
      <c r="H1210">
        <v>985.14319999999998</v>
      </c>
      <c r="K1210" t="str">
        <f t="shared" si="54"/>
        <v>2.5%</v>
      </c>
      <c r="L1210" t="str">
        <f t="shared" si="55"/>
        <v>Need Improvement</v>
      </c>
      <c r="M1210" t="b">
        <f>TRUE()</f>
        <v>1</v>
      </c>
      <c r="N1210" t="b">
        <f>FALSE()</f>
        <v>0</v>
      </c>
      <c r="O1210" s="18" t="b">
        <f t="shared" si="56"/>
        <v>0</v>
      </c>
    </row>
    <row r="1211" spans="1:15" x14ac:dyDescent="0.35">
      <c r="A1211">
        <v>41349</v>
      </c>
      <c r="B1211">
        <v>2396</v>
      </c>
      <c r="C1211" t="s">
        <v>26</v>
      </c>
      <c r="D1211" t="s">
        <v>35</v>
      </c>
      <c r="E1211" t="s">
        <v>29</v>
      </c>
      <c r="F1211">
        <v>8</v>
      </c>
      <c r="G1211">
        <v>4496</v>
      </c>
      <c r="H1211">
        <v>842.32559999999989</v>
      </c>
      <c r="K1211" t="str">
        <f t="shared" si="54"/>
        <v>1.5%</v>
      </c>
      <c r="L1211" t="str">
        <f t="shared" si="55"/>
        <v>Need Improvement</v>
      </c>
      <c r="M1211" t="b">
        <f>TRUE()</f>
        <v>1</v>
      </c>
      <c r="N1211" t="b">
        <f>FALSE()</f>
        <v>0</v>
      </c>
      <c r="O1211" s="18" t="b">
        <f t="shared" si="56"/>
        <v>0</v>
      </c>
    </row>
    <row r="1212" spans="1:15" x14ac:dyDescent="0.35">
      <c r="A1212">
        <v>41350</v>
      </c>
      <c r="B1212">
        <v>2761</v>
      </c>
      <c r="C1212" t="s">
        <v>23</v>
      </c>
      <c r="D1212" t="s">
        <v>35</v>
      </c>
      <c r="E1212" t="s">
        <v>28</v>
      </c>
      <c r="F1212">
        <v>9</v>
      </c>
      <c r="G1212">
        <v>8842.5</v>
      </c>
      <c r="H1212">
        <v>1452.6459</v>
      </c>
      <c r="K1212" t="str">
        <f t="shared" si="54"/>
        <v>2.5%</v>
      </c>
      <c r="L1212" t="str">
        <f t="shared" si="55"/>
        <v>Need Improvement</v>
      </c>
      <c r="M1212" t="b">
        <f>TRUE()</f>
        <v>1</v>
      </c>
      <c r="N1212" t="b">
        <f>FALSE()</f>
        <v>0</v>
      </c>
      <c r="O1212" s="18" t="b">
        <f t="shared" si="56"/>
        <v>0</v>
      </c>
    </row>
    <row r="1213" spans="1:15" x14ac:dyDescent="0.35">
      <c r="A1213">
        <v>41351</v>
      </c>
      <c r="B1213">
        <v>2397</v>
      </c>
      <c r="C1213" t="s">
        <v>27</v>
      </c>
      <c r="D1213" t="s">
        <v>35</v>
      </c>
      <c r="E1213" t="s">
        <v>25</v>
      </c>
      <c r="F1213">
        <v>6</v>
      </c>
      <c r="G1213">
        <v>4446</v>
      </c>
      <c r="H1213">
        <v>2164.7574000000004</v>
      </c>
      <c r="K1213" t="str">
        <f t="shared" si="54"/>
        <v>1.5%</v>
      </c>
      <c r="L1213" t="str">
        <f t="shared" si="55"/>
        <v>Need Improvement</v>
      </c>
      <c r="M1213" t="b">
        <f>TRUE()</f>
        <v>1</v>
      </c>
      <c r="N1213" t="b">
        <f>FALSE()</f>
        <v>0</v>
      </c>
      <c r="O1213" s="18" t="b">
        <f t="shared" si="56"/>
        <v>0</v>
      </c>
    </row>
    <row r="1214" spans="1:15" x14ac:dyDescent="0.35">
      <c r="A1214">
        <v>41352</v>
      </c>
      <c r="B1214">
        <v>2762</v>
      </c>
      <c r="C1214" t="s">
        <v>26</v>
      </c>
      <c r="D1214" t="s">
        <v>35</v>
      </c>
      <c r="E1214" t="s">
        <v>28</v>
      </c>
      <c r="F1214">
        <v>10</v>
      </c>
      <c r="G1214">
        <v>5760</v>
      </c>
      <c r="H1214">
        <v>2762.4960000000001</v>
      </c>
      <c r="K1214" t="str">
        <f t="shared" si="54"/>
        <v>2.5%</v>
      </c>
      <c r="L1214" t="str">
        <f t="shared" si="55"/>
        <v>Need Improvement</v>
      </c>
      <c r="M1214" t="b">
        <f>TRUE()</f>
        <v>1</v>
      </c>
      <c r="N1214" t="b">
        <f>FALSE()</f>
        <v>0</v>
      </c>
      <c r="O1214" s="18" t="b">
        <f t="shared" si="56"/>
        <v>0</v>
      </c>
    </row>
    <row r="1215" spans="1:15" x14ac:dyDescent="0.35">
      <c r="A1215">
        <v>41353</v>
      </c>
      <c r="B1215">
        <v>2398</v>
      </c>
      <c r="C1215" t="s">
        <v>23</v>
      </c>
      <c r="D1215" t="s">
        <v>35</v>
      </c>
      <c r="E1215" t="s">
        <v>25</v>
      </c>
      <c r="F1215">
        <v>9</v>
      </c>
      <c r="G1215">
        <v>2214</v>
      </c>
      <c r="H1215">
        <v>3928.7429999999999</v>
      </c>
      <c r="K1215" t="str">
        <f t="shared" si="54"/>
        <v>1.5%</v>
      </c>
      <c r="L1215" t="str">
        <f t="shared" si="55"/>
        <v>Need Improvement</v>
      </c>
      <c r="M1215" t="b">
        <f>TRUE()</f>
        <v>1</v>
      </c>
      <c r="N1215" t="b">
        <f>FALSE()</f>
        <v>0</v>
      </c>
      <c r="O1215" s="18" t="b">
        <f t="shared" si="56"/>
        <v>0</v>
      </c>
    </row>
    <row r="1216" spans="1:15" x14ac:dyDescent="0.35">
      <c r="A1216">
        <v>41354</v>
      </c>
      <c r="B1216">
        <v>2763</v>
      </c>
      <c r="C1216" t="s">
        <v>27</v>
      </c>
      <c r="D1216" t="s">
        <v>35</v>
      </c>
      <c r="E1216" t="s">
        <v>29</v>
      </c>
      <c r="F1216">
        <v>9</v>
      </c>
      <c r="G1216">
        <v>9585</v>
      </c>
      <c r="H1216">
        <v>1387.1412</v>
      </c>
      <c r="K1216" t="str">
        <f t="shared" si="54"/>
        <v>2.5%</v>
      </c>
      <c r="L1216" t="str">
        <f t="shared" si="55"/>
        <v>Need Improvement</v>
      </c>
      <c r="M1216" t="b">
        <f>TRUE()</f>
        <v>1</v>
      </c>
      <c r="N1216" t="b">
        <f>FALSE()</f>
        <v>0</v>
      </c>
      <c r="O1216" s="18" t="b">
        <f t="shared" si="56"/>
        <v>0</v>
      </c>
    </row>
    <row r="1217" spans="1:15" x14ac:dyDescent="0.35">
      <c r="A1217">
        <v>41355</v>
      </c>
      <c r="B1217">
        <v>2399</v>
      </c>
      <c r="C1217" t="s">
        <v>26</v>
      </c>
      <c r="D1217" t="s">
        <v>35</v>
      </c>
      <c r="E1217" t="s">
        <v>25</v>
      </c>
      <c r="F1217">
        <v>8</v>
      </c>
      <c r="G1217">
        <v>1926</v>
      </c>
      <c r="H1217">
        <v>1205.6759999999999</v>
      </c>
      <c r="K1217" t="str">
        <f t="shared" si="54"/>
        <v>1.5%</v>
      </c>
      <c r="L1217" t="str">
        <f t="shared" si="55"/>
        <v>Need Improvement</v>
      </c>
      <c r="M1217" t="b">
        <f>TRUE()</f>
        <v>1</v>
      </c>
      <c r="N1217" t="b">
        <f>FALSE()</f>
        <v>0</v>
      </c>
      <c r="O1217" s="18" t="b">
        <f t="shared" si="56"/>
        <v>0</v>
      </c>
    </row>
    <row r="1218" spans="1:15" x14ac:dyDescent="0.35">
      <c r="A1218">
        <v>41356</v>
      </c>
      <c r="B1218">
        <v>2764</v>
      </c>
      <c r="C1218" t="s">
        <v>23</v>
      </c>
      <c r="D1218" t="s">
        <v>35</v>
      </c>
      <c r="E1218" t="s">
        <v>29</v>
      </c>
      <c r="F1218">
        <v>7</v>
      </c>
      <c r="G1218">
        <v>6384</v>
      </c>
      <c r="H1218">
        <v>3173.6459999999997</v>
      </c>
      <c r="K1218" t="str">
        <f t="shared" si="54"/>
        <v>2.5%</v>
      </c>
      <c r="L1218" t="str">
        <f t="shared" si="55"/>
        <v>Need Improvement</v>
      </c>
      <c r="M1218" t="b">
        <f>TRUE()</f>
        <v>1</v>
      </c>
      <c r="N1218" t="b">
        <f>FALSE()</f>
        <v>0</v>
      </c>
      <c r="O1218" s="18" t="b">
        <f t="shared" si="56"/>
        <v>0</v>
      </c>
    </row>
    <row r="1219" spans="1:15" x14ac:dyDescent="0.35">
      <c r="A1219">
        <v>41357</v>
      </c>
      <c r="B1219">
        <v>2400</v>
      </c>
      <c r="C1219" t="s">
        <v>27</v>
      </c>
      <c r="D1219" t="s">
        <v>35</v>
      </c>
      <c r="E1219" t="s">
        <v>28</v>
      </c>
      <c r="F1219">
        <v>8</v>
      </c>
      <c r="G1219">
        <v>11160</v>
      </c>
      <c r="H1219">
        <v>4388.1120000000001</v>
      </c>
      <c r="K1219" t="str">
        <f t="shared" ref="K1219:K1282" si="57">IF(G1219&gt;10000,"5%",IF(AND(G1219&gt;=5000,G1219&lt;10000),"2.5%","1.5%"))</f>
        <v>5%</v>
      </c>
      <c r="L1219" t="str">
        <f t="shared" ref="L1219:L1282" si="58">IF(OR(G1219&gt;10000,H1219&gt;=5000),"Good","Need Improvement")</f>
        <v>Good</v>
      </c>
      <c r="M1219" t="b">
        <f>TRUE()</f>
        <v>1</v>
      </c>
      <c r="N1219" t="b">
        <f>FALSE()</f>
        <v>0</v>
      </c>
      <c r="O1219" s="18" t="b">
        <f t="shared" ref="O1219:O1282" si="59">NOT(M1219)</f>
        <v>0</v>
      </c>
    </row>
    <row r="1220" spans="1:15" x14ac:dyDescent="0.35">
      <c r="A1220">
        <v>41358</v>
      </c>
      <c r="B1220">
        <v>2765</v>
      </c>
      <c r="C1220" t="s">
        <v>26</v>
      </c>
      <c r="D1220" t="s">
        <v>35</v>
      </c>
      <c r="E1220" t="s">
        <v>29</v>
      </c>
      <c r="F1220">
        <v>10</v>
      </c>
      <c r="G1220">
        <v>11250</v>
      </c>
      <c r="H1220">
        <v>2397.6000000000004</v>
      </c>
      <c r="K1220" t="str">
        <f t="shared" si="57"/>
        <v>5%</v>
      </c>
      <c r="L1220" t="str">
        <f t="shared" si="58"/>
        <v>Good</v>
      </c>
      <c r="M1220" t="b">
        <f>TRUE()</f>
        <v>1</v>
      </c>
      <c r="N1220" t="b">
        <f>FALSE()</f>
        <v>0</v>
      </c>
      <c r="O1220" s="18" t="b">
        <f t="shared" si="59"/>
        <v>0</v>
      </c>
    </row>
    <row r="1221" spans="1:15" x14ac:dyDescent="0.35">
      <c r="A1221">
        <v>41359</v>
      </c>
      <c r="B1221">
        <v>2401</v>
      </c>
      <c r="C1221" t="s">
        <v>23</v>
      </c>
      <c r="D1221" t="s">
        <v>35</v>
      </c>
      <c r="E1221" t="s">
        <v>28</v>
      </c>
      <c r="F1221">
        <v>8</v>
      </c>
      <c r="G1221">
        <v>5640</v>
      </c>
      <c r="H1221">
        <v>2969.46</v>
      </c>
      <c r="K1221" t="str">
        <f t="shared" si="57"/>
        <v>2.5%</v>
      </c>
      <c r="L1221" t="str">
        <f t="shared" si="58"/>
        <v>Need Improvement</v>
      </c>
      <c r="M1221" t="b">
        <f>TRUE()</f>
        <v>1</v>
      </c>
      <c r="N1221" t="b">
        <f>FALSE()</f>
        <v>0</v>
      </c>
      <c r="O1221" s="18" t="b">
        <f t="shared" si="59"/>
        <v>0</v>
      </c>
    </row>
    <row r="1222" spans="1:15" x14ac:dyDescent="0.35">
      <c r="A1222">
        <v>41360</v>
      </c>
      <c r="B1222">
        <v>2402</v>
      </c>
      <c r="C1222" t="s">
        <v>26</v>
      </c>
      <c r="D1222" t="s">
        <v>35</v>
      </c>
      <c r="E1222" t="s">
        <v>28</v>
      </c>
      <c r="F1222">
        <v>10</v>
      </c>
      <c r="G1222">
        <v>1635</v>
      </c>
      <c r="H1222">
        <v>612.9615</v>
      </c>
      <c r="K1222" t="str">
        <f t="shared" si="57"/>
        <v>1.5%</v>
      </c>
      <c r="L1222" t="str">
        <f t="shared" si="58"/>
        <v>Need Improvement</v>
      </c>
      <c r="M1222" t="b">
        <f>TRUE()</f>
        <v>1</v>
      </c>
      <c r="N1222" t="b">
        <f>FALSE()</f>
        <v>0</v>
      </c>
      <c r="O1222" s="18" t="b">
        <f t="shared" si="59"/>
        <v>0</v>
      </c>
    </row>
    <row r="1223" spans="1:15" x14ac:dyDescent="0.35">
      <c r="A1223">
        <v>41361</v>
      </c>
      <c r="B1223">
        <v>2403</v>
      </c>
      <c r="C1223" t="s">
        <v>27</v>
      </c>
      <c r="D1223" t="s">
        <v>35</v>
      </c>
      <c r="E1223" t="s">
        <v>29</v>
      </c>
      <c r="F1223">
        <v>8</v>
      </c>
      <c r="G1223">
        <v>9216</v>
      </c>
      <c r="H1223">
        <v>2406.7583999999997</v>
      </c>
      <c r="K1223" t="str">
        <f t="shared" si="57"/>
        <v>2.5%</v>
      </c>
      <c r="L1223" t="str">
        <f t="shared" si="58"/>
        <v>Need Improvement</v>
      </c>
      <c r="M1223" t="b">
        <f>TRUE()</f>
        <v>1</v>
      </c>
      <c r="N1223" t="b">
        <f>FALSE()</f>
        <v>0</v>
      </c>
      <c r="O1223" s="18" t="b">
        <f t="shared" si="59"/>
        <v>0</v>
      </c>
    </row>
    <row r="1224" spans="1:15" x14ac:dyDescent="0.35">
      <c r="A1224">
        <v>41362</v>
      </c>
      <c r="B1224">
        <v>2404</v>
      </c>
      <c r="C1224" t="s">
        <v>23</v>
      </c>
      <c r="D1224" t="s">
        <v>35</v>
      </c>
      <c r="E1224" t="s">
        <v>29</v>
      </c>
      <c r="F1224">
        <v>10</v>
      </c>
      <c r="G1224">
        <v>7620</v>
      </c>
      <c r="H1224">
        <v>1853.3745000000001</v>
      </c>
      <c r="K1224" t="str">
        <f t="shared" si="57"/>
        <v>2.5%</v>
      </c>
      <c r="L1224" t="str">
        <f t="shared" si="58"/>
        <v>Need Improvement</v>
      </c>
      <c r="M1224" t="b">
        <f>TRUE()</f>
        <v>1</v>
      </c>
      <c r="N1224" t="b">
        <f>FALSE()</f>
        <v>0</v>
      </c>
      <c r="O1224" s="18" t="b">
        <f t="shared" si="59"/>
        <v>0</v>
      </c>
    </row>
    <row r="1225" spans="1:15" x14ac:dyDescent="0.35">
      <c r="A1225">
        <v>41363</v>
      </c>
      <c r="B1225">
        <v>2405</v>
      </c>
      <c r="C1225" t="s">
        <v>26</v>
      </c>
      <c r="D1225" t="s">
        <v>35</v>
      </c>
      <c r="E1225" t="s">
        <v>29</v>
      </c>
      <c r="F1225">
        <v>10</v>
      </c>
      <c r="G1225">
        <v>5970</v>
      </c>
      <c r="H1225">
        <v>5246.1374999999998</v>
      </c>
      <c r="K1225" t="str">
        <f t="shared" si="57"/>
        <v>2.5%</v>
      </c>
      <c r="L1225" t="str">
        <f t="shared" si="58"/>
        <v>Good</v>
      </c>
      <c r="M1225" t="b">
        <f>TRUE()</f>
        <v>1</v>
      </c>
      <c r="N1225" t="b">
        <f>FALSE()</f>
        <v>0</v>
      </c>
      <c r="O1225" s="18" t="b">
        <f t="shared" si="59"/>
        <v>0</v>
      </c>
    </row>
    <row r="1226" spans="1:15" x14ac:dyDescent="0.35">
      <c r="A1226">
        <v>41364</v>
      </c>
      <c r="B1226">
        <v>2775</v>
      </c>
      <c r="C1226" t="s">
        <v>27</v>
      </c>
      <c r="D1226" t="s">
        <v>35</v>
      </c>
      <c r="E1226" t="s">
        <v>25</v>
      </c>
      <c r="F1226">
        <v>10</v>
      </c>
      <c r="G1226">
        <v>6060</v>
      </c>
      <c r="H1226">
        <v>1452.7839999999999</v>
      </c>
      <c r="K1226" t="str">
        <f t="shared" si="57"/>
        <v>2.5%</v>
      </c>
      <c r="L1226" t="str">
        <f t="shared" si="58"/>
        <v>Need Improvement</v>
      </c>
      <c r="M1226" t="b">
        <f>TRUE()</f>
        <v>1</v>
      </c>
      <c r="N1226" t="b">
        <f>FALSE()</f>
        <v>0</v>
      </c>
      <c r="O1226" s="18" t="b">
        <f t="shared" si="59"/>
        <v>0</v>
      </c>
    </row>
    <row r="1227" spans="1:15" x14ac:dyDescent="0.35">
      <c r="A1227">
        <v>41365</v>
      </c>
      <c r="B1227">
        <v>2411</v>
      </c>
      <c r="C1227" t="s">
        <v>26</v>
      </c>
      <c r="D1227" t="s">
        <v>35</v>
      </c>
      <c r="E1227" t="s">
        <v>28</v>
      </c>
      <c r="F1227">
        <v>8</v>
      </c>
      <c r="G1227">
        <v>5724</v>
      </c>
      <c r="H1227">
        <v>849.44159999999999</v>
      </c>
      <c r="K1227" t="str">
        <f t="shared" si="57"/>
        <v>2.5%</v>
      </c>
      <c r="L1227" t="str">
        <f t="shared" si="58"/>
        <v>Need Improvement</v>
      </c>
      <c r="M1227" t="b">
        <f>TRUE()</f>
        <v>1</v>
      </c>
      <c r="N1227" t="b">
        <f>FALSE()</f>
        <v>0</v>
      </c>
      <c r="O1227" s="18" t="b">
        <f t="shared" si="59"/>
        <v>0</v>
      </c>
    </row>
    <row r="1228" spans="1:15" x14ac:dyDescent="0.35">
      <c r="A1228">
        <v>41366</v>
      </c>
      <c r="B1228">
        <v>2776</v>
      </c>
      <c r="C1228" t="s">
        <v>23</v>
      </c>
      <c r="D1228" t="s">
        <v>35</v>
      </c>
      <c r="E1228" t="s">
        <v>25</v>
      </c>
      <c r="F1228">
        <v>10</v>
      </c>
      <c r="G1228">
        <v>10350</v>
      </c>
      <c r="H1228">
        <v>683.51400000000001</v>
      </c>
      <c r="K1228" t="str">
        <f t="shared" si="57"/>
        <v>5%</v>
      </c>
      <c r="L1228" t="str">
        <f t="shared" si="58"/>
        <v>Good</v>
      </c>
      <c r="M1228" t="b">
        <f>TRUE()</f>
        <v>1</v>
      </c>
      <c r="N1228" t="b">
        <f>FALSE()</f>
        <v>0</v>
      </c>
      <c r="O1228" s="18" t="b">
        <f t="shared" si="59"/>
        <v>0</v>
      </c>
    </row>
    <row r="1229" spans="1:15" x14ac:dyDescent="0.35">
      <c r="A1229">
        <v>41367</v>
      </c>
      <c r="B1229">
        <v>2412</v>
      </c>
      <c r="C1229" t="s">
        <v>27</v>
      </c>
      <c r="D1229" t="s">
        <v>35</v>
      </c>
      <c r="E1229" t="s">
        <v>29</v>
      </c>
      <c r="F1229">
        <v>6</v>
      </c>
      <c r="G1229">
        <v>11475</v>
      </c>
      <c r="H1229">
        <v>3490.2359999999999</v>
      </c>
      <c r="K1229" t="str">
        <f t="shared" si="57"/>
        <v>5%</v>
      </c>
      <c r="L1229" t="str">
        <f t="shared" si="58"/>
        <v>Good</v>
      </c>
      <c r="M1229" t="b">
        <f>TRUE()</f>
        <v>1</v>
      </c>
      <c r="N1229" t="b">
        <f>FALSE()</f>
        <v>0</v>
      </c>
      <c r="O1229" s="18" t="b">
        <f t="shared" si="59"/>
        <v>0</v>
      </c>
    </row>
    <row r="1230" spans="1:15" x14ac:dyDescent="0.35">
      <c r="A1230">
        <v>41368</v>
      </c>
      <c r="B1230">
        <v>2777</v>
      </c>
      <c r="C1230" t="s">
        <v>26</v>
      </c>
      <c r="D1230" t="s">
        <v>35</v>
      </c>
      <c r="E1230" t="s">
        <v>25</v>
      </c>
      <c r="F1230">
        <v>9</v>
      </c>
      <c r="G1230">
        <v>6831</v>
      </c>
      <c r="H1230">
        <v>852.96420000000001</v>
      </c>
      <c r="K1230" t="str">
        <f t="shared" si="57"/>
        <v>2.5%</v>
      </c>
      <c r="L1230" t="str">
        <f t="shared" si="58"/>
        <v>Need Improvement</v>
      </c>
      <c r="M1230" t="b">
        <f>TRUE()</f>
        <v>1</v>
      </c>
      <c r="N1230" t="b">
        <f>FALSE()</f>
        <v>0</v>
      </c>
      <c r="O1230" s="18" t="b">
        <f t="shared" si="59"/>
        <v>0</v>
      </c>
    </row>
    <row r="1231" spans="1:15" x14ac:dyDescent="0.35">
      <c r="A1231">
        <v>41369</v>
      </c>
      <c r="B1231">
        <v>2413</v>
      </c>
      <c r="C1231" t="s">
        <v>23</v>
      </c>
      <c r="D1231" t="s">
        <v>35</v>
      </c>
      <c r="E1231" t="s">
        <v>29</v>
      </c>
      <c r="F1231">
        <v>6</v>
      </c>
      <c r="G1231">
        <v>5062.5</v>
      </c>
      <c r="H1231">
        <v>1971.84375</v>
      </c>
      <c r="K1231" t="str">
        <f t="shared" si="57"/>
        <v>2.5%</v>
      </c>
      <c r="L1231" t="str">
        <f t="shared" si="58"/>
        <v>Need Improvement</v>
      </c>
      <c r="M1231" t="b">
        <f>TRUE()</f>
        <v>1</v>
      </c>
      <c r="N1231" t="b">
        <f>FALSE()</f>
        <v>0</v>
      </c>
      <c r="O1231" s="18" t="b">
        <f t="shared" si="59"/>
        <v>0</v>
      </c>
    </row>
    <row r="1232" spans="1:15" x14ac:dyDescent="0.35">
      <c r="A1232">
        <v>41370</v>
      </c>
      <c r="B1232">
        <v>2778</v>
      </c>
      <c r="C1232" t="s">
        <v>27</v>
      </c>
      <c r="D1232" t="s">
        <v>35</v>
      </c>
      <c r="E1232" t="s">
        <v>28</v>
      </c>
      <c r="F1232">
        <v>6</v>
      </c>
      <c r="G1232">
        <v>5778</v>
      </c>
      <c r="H1232">
        <v>2354.5349999999999</v>
      </c>
      <c r="K1232" t="str">
        <f t="shared" si="57"/>
        <v>2.5%</v>
      </c>
      <c r="L1232" t="str">
        <f t="shared" si="58"/>
        <v>Need Improvement</v>
      </c>
      <c r="M1232" t="b">
        <f>TRUE()</f>
        <v>1</v>
      </c>
      <c r="N1232" t="b">
        <f>FALSE()</f>
        <v>0</v>
      </c>
      <c r="O1232" s="18" t="b">
        <f t="shared" si="59"/>
        <v>0</v>
      </c>
    </row>
    <row r="1233" spans="1:15" x14ac:dyDescent="0.35">
      <c r="A1233">
        <v>41371</v>
      </c>
      <c r="B1233">
        <v>2414</v>
      </c>
      <c r="C1233" t="s">
        <v>26</v>
      </c>
      <c r="D1233" t="s">
        <v>35</v>
      </c>
      <c r="E1233" t="s">
        <v>29</v>
      </c>
      <c r="F1233">
        <v>9</v>
      </c>
      <c r="G1233">
        <v>13432.5</v>
      </c>
      <c r="H1233">
        <v>2267.4059999999999</v>
      </c>
      <c r="K1233" t="str">
        <f t="shared" si="57"/>
        <v>5%</v>
      </c>
      <c r="L1233" t="str">
        <f t="shared" si="58"/>
        <v>Good</v>
      </c>
      <c r="M1233" t="b">
        <f>TRUE()</f>
        <v>1</v>
      </c>
      <c r="N1233" t="b">
        <f>FALSE()</f>
        <v>0</v>
      </c>
      <c r="O1233" s="18" t="b">
        <f t="shared" si="59"/>
        <v>0</v>
      </c>
    </row>
    <row r="1234" spans="1:15" x14ac:dyDescent="0.35">
      <c r="A1234">
        <v>41372</v>
      </c>
      <c r="B1234">
        <v>2779</v>
      </c>
      <c r="C1234" t="s">
        <v>23</v>
      </c>
      <c r="D1234" t="s">
        <v>35</v>
      </c>
      <c r="E1234" t="s">
        <v>28</v>
      </c>
      <c r="F1234">
        <v>8</v>
      </c>
      <c r="G1234">
        <v>6516</v>
      </c>
      <c r="H1234">
        <v>683.31119999999999</v>
      </c>
      <c r="K1234" t="str">
        <f t="shared" si="57"/>
        <v>2.5%</v>
      </c>
      <c r="L1234" t="str">
        <f t="shared" si="58"/>
        <v>Need Improvement</v>
      </c>
      <c r="M1234" t="b">
        <f>TRUE()</f>
        <v>1</v>
      </c>
      <c r="N1234" t="b">
        <f>FALSE()</f>
        <v>0</v>
      </c>
      <c r="O1234" s="18" t="b">
        <f t="shared" si="59"/>
        <v>0</v>
      </c>
    </row>
    <row r="1235" spans="1:15" x14ac:dyDescent="0.35">
      <c r="A1235">
        <v>41373</v>
      </c>
      <c r="B1235">
        <v>2415</v>
      </c>
      <c r="C1235" t="s">
        <v>27</v>
      </c>
      <c r="D1235" t="s">
        <v>35</v>
      </c>
      <c r="E1235" t="s">
        <v>25</v>
      </c>
      <c r="F1235">
        <v>10</v>
      </c>
      <c r="G1235">
        <v>7575</v>
      </c>
      <c r="H1235">
        <v>578.73</v>
      </c>
      <c r="K1235" t="str">
        <f t="shared" si="57"/>
        <v>2.5%</v>
      </c>
      <c r="L1235" t="str">
        <f t="shared" si="58"/>
        <v>Need Improvement</v>
      </c>
      <c r="M1235" t="b">
        <f>TRUE()</f>
        <v>1</v>
      </c>
      <c r="N1235" t="b">
        <f>FALSE()</f>
        <v>0</v>
      </c>
      <c r="O1235" s="18" t="b">
        <f t="shared" si="59"/>
        <v>0</v>
      </c>
    </row>
    <row r="1236" spans="1:15" x14ac:dyDescent="0.35">
      <c r="A1236">
        <v>41374</v>
      </c>
      <c r="B1236">
        <v>2780</v>
      </c>
      <c r="C1236" t="s">
        <v>26</v>
      </c>
      <c r="D1236" t="s">
        <v>35</v>
      </c>
      <c r="E1236" t="s">
        <v>28</v>
      </c>
      <c r="F1236">
        <v>6</v>
      </c>
      <c r="G1236">
        <v>6084</v>
      </c>
      <c r="H1236">
        <v>1423.1997000000001</v>
      </c>
      <c r="K1236" t="str">
        <f t="shared" si="57"/>
        <v>2.5%</v>
      </c>
      <c r="L1236" t="str">
        <f t="shared" si="58"/>
        <v>Need Improvement</v>
      </c>
      <c r="M1236" t="b">
        <f>TRUE()</f>
        <v>1</v>
      </c>
      <c r="N1236" t="b">
        <f>FALSE()</f>
        <v>0</v>
      </c>
      <c r="O1236" s="18" t="b">
        <f t="shared" si="59"/>
        <v>0</v>
      </c>
    </row>
    <row r="1237" spans="1:15" x14ac:dyDescent="0.35">
      <c r="A1237">
        <v>41375</v>
      </c>
      <c r="B1237">
        <v>2416</v>
      </c>
      <c r="C1237" t="s">
        <v>23</v>
      </c>
      <c r="D1237" t="s">
        <v>35</v>
      </c>
      <c r="E1237" t="s">
        <v>25</v>
      </c>
      <c r="F1237">
        <v>9</v>
      </c>
      <c r="G1237">
        <v>12487.5</v>
      </c>
      <c r="H1237">
        <v>912.33675000000005</v>
      </c>
      <c r="K1237" t="str">
        <f t="shared" si="57"/>
        <v>5%</v>
      </c>
      <c r="L1237" t="str">
        <f t="shared" si="58"/>
        <v>Good</v>
      </c>
      <c r="M1237" t="b">
        <f>TRUE()</f>
        <v>1</v>
      </c>
      <c r="N1237" t="b">
        <f>FALSE()</f>
        <v>0</v>
      </c>
      <c r="O1237" s="18" t="b">
        <f t="shared" si="59"/>
        <v>0</v>
      </c>
    </row>
    <row r="1238" spans="1:15" x14ac:dyDescent="0.35">
      <c r="A1238">
        <v>41376</v>
      </c>
      <c r="B1238">
        <v>2781</v>
      </c>
      <c r="C1238" t="s">
        <v>27</v>
      </c>
      <c r="D1238" t="s">
        <v>35</v>
      </c>
      <c r="E1238" t="s">
        <v>29</v>
      </c>
      <c r="F1238">
        <v>9</v>
      </c>
      <c r="G1238">
        <v>7506</v>
      </c>
      <c r="H1238">
        <v>754.35299999999995</v>
      </c>
      <c r="K1238" t="str">
        <f t="shared" si="57"/>
        <v>2.5%</v>
      </c>
      <c r="L1238" t="str">
        <f t="shared" si="58"/>
        <v>Need Improvement</v>
      </c>
      <c r="M1238" t="b">
        <f>TRUE()</f>
        <v>1</v>
      </c>
      <c r="N1238" t="b">
        <f>FALSE()</f>
        <v>0</v>
      </c>
      <c r="O1238" s="18" t="b">
        <f t="shared" si="59"/>
        <v>0</v>
      </c>
    </row>
    <row r="1239" spans="1:15" x14ac:dyDescent="0.35">
      <c r="A1239">
        <v>41377</v>
      </c>
      <c r="B1239">
        <v>2417</v>
      </c>
      <c r="C1239" t="s">
        <v>26</v>
      </c>
      <c r="D1239" t="s">
        <v>35</v>
      </c>
      <c r="E1239" t="s">
        <v>25</v>
      </c>
      <c r="F1239">
        <v>7</v>
      </c>
      <c r="G1239">
        <v>12022.5</v>
      </c>
      <c r="H1239">
        <v>4181.9063999999998</v>
      </c>
      <c r="K1239" t="str">
        <f t="shared" si="57"/>
        <v>5%</v>
      </c>
      <c r="L1239" t="str">
        <f t="shared" si="58"/>
        <v>Good</v>
      </c>
      <c r="M1239" t="b">
        <f>TRUE()</f>
        <v>1</v>
      </c>
      <c r="N1239" t="b">
        <f>FALSE()</f>
        <v>0</v>
      </c>
      <c r="O1239" s="18" t="b">
        <f t="shared" si="59"/>
        <v>0</v>
      </c>
    </row>
    <row r="1240" spans="1:15" x14ac:dyDescent="0.35">
      <c r="A1240">
        <v>41378</v>
      </c>
      <c r="B1240">
        <v>2782</v>
      </c>
      <c r="C1240" t="s">
        <v>23</v>
      </c>
      <c r="D1240" t="s">
        <v>35</v>
      </c>
      <c r="E1240" t="s">
        <v>29</v>
      </c>
      <c r="F1240">
        <v>9</v>
      </c>
      <c r="G1240">
        <v>4266</v>
      </c>
      <c r="H1240">
        <v>1736.2619999999997</v>
      </c>
      <c r="K1240" t="str">
        <f t="shared" si="57"/>
        <v>1.5%</v>
      </c>
      <c r="L1240" t="str">
        <f t="shared" si="58"/>
        <v>Need Improvement</v>
      </c>
      <c r="M1240" t="b">
        <f>TRUE()</f>
        <v>1</v>
      </c>
      <c r="N1240" t="b">
        <f>FALSE()</f>
        <v>0</v>
      </c>
      <c r="O1240" s="18" t="b">
        <f t="shared" si="59"/>
        <v>0</v>
      </c>
    </row>
    <row r="1241" spans="1:15" x14ac:dyDescent="0.35">
      <c r="A1241">
        <v>41379</v>
      </c>
      <c r="B1241">
        <v>2418</v>
      </c>
      <c r="C1241" t="s">
        <v>27</v>
      </c>
      <c r="D1241" t="s">
        <v>35</v>
      </c>
      <c r="E1241" t="s">
        <v>28</v>
      </c>
      <c r="F1241">
        <v>7</v>
      </c>
      <c r="G1241">
        <v>3370.5</v>
      </c>
      <c r="H1241">
        <v>2058.7013999999999</v>
      </c>
      <c r="K1241" t="str">
        <f t="shared" si="57"/>
        <v>1.5%</v>
      </c>
      <c r="L1241" t="str">
        <f t="shared" si="58"/>
        <v>Need Improvement</v>
      </c>
      <c r="M1241" t="b">
        <f>TRUE()</f>
        <v>1</v>
      </c>
      <c r="N1241" t="b">
        <f>FALSE()</f>
        <v>0</v>
      </c>
      <c r="O1241" s="18" t="b">
        <f t="shared" si="59"/>
        <v>0</v>
      </c>
    </row>
    <row r="1242" spans="1:15" x14ac:dyDescent="0.35">
      <c r="A1242">
        <v>41380</v>
      </c>
      <c r="B1242">
        <v>2783</v>
      </c>
      <c r="C1242" t="s">
        <v>26</v>
      </c>
      <c r="D1242" t="s">
        <v>35</v>
      </c>
      <c r="E1242" t="s">
        <v>29</v>
      </c>
      <c r="F1242">
        <v>9</v>
      </c>
      <c r="G1242">
        <v>2673</v>
      </c>
      <c r="H1242">
        <v>4602.9059999999999</v>
      </c>
      <c r="K1242" t="str">
        <f t="shared" si="57"/>
        <v>1.5%</v>
      </c>
      <c r="L1242" t="str">
        <f t="shared" si="58"/>
        <v>Need Improvement</v>
      </c>
      <c r="M1242" t="b">
        <f>TRUE()</f>
        <v>1</v>
      </c>
      <c r="N1242" t="b">
        <f>FALSE()</f>
        <v>0</v>
      </c>
      <c r="O1242" s="18" t="b">
        <f t="shared" si="59"/>
        <v>0</v>
      </c>
    </row>
    <row r="1243" spans="1:15" x14ac:dyDescent="0.35">
      <c r="A1243">
        <v>41381</v>
      </c>
      <c r="B1243">
        <v>2419</v>
      </c>
      <c r="C1243" t="s">
        <v>23</v>
      </c>
      <c r="D1243" t="s">
        <v>35</v>
      </c>
      <c r="E1243" t="s">
        <v>28</v>
      </c>
      <c r="F1243">
        <v>8</v>
      </c>
      <c r="G1243">
        <v>6048</v>
      </c>
      <c r="H1243">
        <v>3281.04</v>
      </c>
      <c r="K1243" t="str">
        <f t="shared" si="57"/>
        <v>2.5%</v>
      </c>
      <c r="L1243" t="str">
        <f t="shared" si="58"/>
        <v>Need Improvement</v>
      </c>
      <c r="M1243" t="b">
        <f>TRUE()</f>
        <v>1</v>
      </c>
      <c r="N1243" t="b">
        <f>FALSE()</f>
        <v>0</v>
      </c>
      <c r="O1243" s="18" t="b">
        <f t="shared" si="59"/>
        <v>0</v>
      </c>
    </row>
    <row r="1244" spans="1:15" x14ac:dyDescent="0.35">
      <c r="A1244">
        <v>41382</v>
      </c>
      <c r="B1244">
        <v>2784</v>
      </c>
      <c r="C1244" t="s">
        <v>27</v>
      </c>
      <c r="D1244" t="s">
        <v>35</v>
      </c>
      <c r="E1244" t="s">
        <v>25</v>
      </c>
      <c r="F1244">
        <v>8</v>
      </c>
      <c r="G1244">
        <v>4428</v>
      </c>
      <c r="H1244">
        <v>721.09979999999996</v>
      </c>
      <c r="K1244" t="str">
        <f t="shared" si="57"/>
        <v>1.5%</v>
      </c>
      <c r="L1244" t="str">
        <f t="shared" si="58"/>
        <v>Need Improvement</v>
      </c>
      <c r="M1244" t="b">
        <f>TRUE()</f>
        <v>1</v>
      </c>
      <c r="N1244" t="b">
        <f>FALSE()</f>
        <v>0</v>
      </c>
      <c r="O1244" s="18" t="b">
        <f t="shared" si="59"/>
        <v>0</v>
      </c>
    </row>
    <row r="1245" spans="1:15" x14ac:dyDescent="0.35">
      <c r="A1245">
        <v>41383</v>
      </c>
      <c r="B1245">
        <v>2420</v>
      </c>
      <c r="C1245" t="s">
        <v>26</v>
      </c>
      <c r="D1245" t="s">
        <v>35</v>
      </c>
      <c r="E1245" t="s">
        <v>28</v>
      </c>
      <c r="F1245">
        <v>10</v>
      </c>
      <c r="G1245">
        <v>5160</v>
      </c>
      <c r="H1245">
        <v>2085.1559999999999</v>
      </c>
      <c r="K1245" t="str">
        <f t="shared" si="57"/>
        <v>2.5%</v>
      </c>
      <c r="L1245" t="str">
        <f t="shared" si="58"/>
        <v>Need Improvement</v>
      </c>
      <c r="M1245" t="b">
        <f>TRUE()</f>
        <v>1</v>
      </c>
      <c r="N1245" t="b">
        <f>FALSE()</f>
        <v>0</v>
      </c>
      <c r="O1245" s="18" t="b">
        <f t="shared" si="59"/>
        <v>0</v>
      </c>
    </row>
    <row r="1246" spans="1:15" x14ac:dyDescent="0.35">
      <c r="A1246">
        <v>41384</v>
      </c>
      <c r="B1246">
        <v>2785</v>
      </c>
      <c r="C1246" t="s">
        <v>23</v>
      </c>
      <c r="D1246" t="s">
        <v>35</v>
      </c>
      <c r="E1246" t="s">
        <v>25</v>
      </c>
      <c r="F1246">
        <v>7</v>
      </c>
      <c r="G1246">
        <v>14280</v>
      </c>
      <c r="H1246">
        <v>4382.5320000000002</v>
      </c>
      <c r="K1246" t="str">
        <f t="shared" si="57"/>
        <v>5%</v>
      </c>
      <c r="L1246" t="str">
        <f t="shared" si="58"/>
        <v>Good</v>
      </c>
      <c r="M1246" t="b">
        <f>TRUE()</f>
        <v>1</v>
      </c>
      <c r="N1246" t="b">
        <f>FALSE()</f>
        <v>0</v>
      </c>
      <c r="O1246" s="18" t="b">
        <f t="shared" si="59"/>
        <v>0</v>
      </c>
    </row>
    <row r="1247" spans="1:15" x14ac:dyDescent="0.35">
      <c r="A1247">
        <v>41385</v>
      </c>
      <c r="B1247">
        <v>2421</v>
      </c>
      <c r="C1247" t="s">
        <v>27</v>
      </c>
      <c r="D1247" t="s">
        <v>35</v>
      </c>
      <c r="E1247" t="s">
        <v>29</v>
      </c>
      <c r="F1247">
        <v>7</v>
      </c>
      <c r="G1247">
        <v>11172</v>
      </c>
      <c r="H1247">
        <v>2141.1137999999996</v>
      </c>
      <c r="K1247" t="str">
        <f t="shared" si="57"/>
        <v>5%</v>
      </c>
      <c r="L1247" t="str">
        <f t="shared" si="58"/>
        <v>Good</v>
      </c>
      <c r="M1247" t="b">
        <f>TRUE()</f>
        <v>1</v>
      </c>
      <c r="N1247" t="b">
        <f>FALSE()</f>
        <v>0</v>
      </c>
      <c r="O1247" s="18" t="b">
        <f t="shared" si="59"/>
        <v>0</v>
      </c>
    </row>
    <row r="1248" spans="1:15" x14ac:dyDescent="0.35">
      <c r="A1248">
        <v>41386</v>
      </c>
      <c r="B1248">
        <v>2786</v>
      </c>
      <c r="C1248" t="s">
        <v>26</v>
      </c>
      <c r="D1248" t="s">
        <v>35</v>
      </c>
      <c r="E1248" t="s">
        <v>25</v>
      </c>
      <c r="F1248">
        <v>7</v>
      </c>
      <c r="G1248">
        <v>11550</v>
      </c>
      <c r="H1248">
        <v>2089.395</v>
      </c>
      <c r="K1248" t="str">
        <f t="shared" si="57"/>
        <v>5%</v>
      </c>
      <c r="L1248" t="str">
        <f t="shared" si="58"/>
        <v>Good</v>
      </c>
      <c r="M1248" t="b">
        <f>TRUE()</f>
        <v>1</v>
      </c>
      <c r="N1248" t="b">
        <f>FALSE()</f>
        <v>0</v>
      </c>
      <c r="O1248" s="18" t="b">
        <f t="shared" si="59"/>
        <v>0</v>
      </c>
    </row>
    <row r="1249" spans="1:15" x14ac:dyDescent="0.35">
      <c r="A1249">
        <v>41387</v>
      </c>
      <c r="B1249">
        <v>2422</v>
      </c>
      <c r="C1249" t="s">
        <v>23</v>
      </c>
      <c r="D1249" t="s">
        <v>35</v>
      </c>
      <c r="E1249" t="s">
        <v>29</v>
      </c>
      <c r="F1249">
        <v>6</v>
      </c>
      <c r="G1249">
        <v>9828</v>
      </c>
      <c r="H1249">
        <v>4660.9290000000001</v>
      </c>
      <c r="K1249" t="str">
        <f t="shared" si="57"/>
        <v>2.5%</v>
      </c>
      <c r="L1249" t="str">
        <f t="shared" si="58"/>
        <v>Need Improvement</v>
      </c>
      <c r="M1249" t="b">
        <f>TRUE()</f>
        <v>1</v>
      </c>
      <c r="N1249" t="b">
        <f>FALSE()</f>
        <v>0</v>
      </c>
      <c r="O1249" s="18" t="b">
        <f t="shared" si="59"/>
        <v>0</v>
      </c>
    </row>
    <row r="1250" spans="1:15" x14ac:dyDescent="0.35">
      <c r="A1250">
        <v>41388</v>
      </c>
      <c r="B1250">
        <v>2787</v>
      </c>
      <c r="C1250" t="s">
        <v>27</v>
      </c>
      <c r="D1250" t="s">
        <v>35</v>
      </c>
      <c r="E1250" t="s">
        <v>28</v>
      </c>
      <c r="F1250">
        <v>8</v>
      </c>
      <c r="G1250">
        <v>7200</v>
      </c>
      <c r="H1250">
        <v>2219.7600000000002</v>
      </c>
      <c r="K1250" t="str">
        <f t="shared" si="57"/>
        <v>2.5%</v>
      </c>
      <c r="L1250" t="str">
        <f t="shared" si="58"/>
        <v>Need Improvement</v>
      </c>
      <c r="M1250" t="b">
        <f>TRUE()</f>
        <v>1</v>
      </c>
      <c r="N1250" t="b">
        <f>FALSE()</f>
        <v>0</v>
      </c>
      <c r="O1250" s="18" t="b">
        <f t="shared" si="59"/>
        <v>0</v>
      </c>
    </row>
    <row r="1251" spans="1:15" x14ac:dyDescent="0.35">
      <c r="A1251">
        <v>41389</v>
      </c>
      <c r="B1251">
        <v>2423</v>
      </c>
      <c r="C1251" t="s">
        <v>26</v>
      </c>
      <c r="D1251" t="s">
        <v>35</v>
      </c>
      <c r="E1251" t="s">
        <v>29</v>
      </c>
      <c r="F1251">
        <v>10</v>
      </c>
      <c r="G1251">
        <v>5130</v>
      </c>
      <c r="H1251">
        <v>969.31350000000009</v>
      </c>
      <c r="K1251" t="str">
        <f t="shared" si="57"/>
        <v>2.5%</v>
      </c>
      <c r="L1251" t="str">
        <f t="shared" si="58"/>
        <v>Need Improvement</v>
      </c>
      <c r="M1251" t="b">
        <f>TRUE()</f>
        <v>1</v>
      </c>
      <c r="N1251" t="b">
        <f>FALSE()</f>
        <v>0</v>
      </c>
      <c r="O1251" s="18" t="b">
        <f t="shared" si="59"/>
        <v>0</v>
      </c>
    </row>
    <row r="1252" spans="1:15" x14ac:dyDescent="0.35">
      <c r="A1252">
        <v>41390</v>
      </c>
      <c r="B1252">
        <v>2788</v>
      </c>
      <c r="C1252" t="s">
        <v>23</v>
      </c>
      <c r="D1252" t="s">
        <v>35</v>
      </c>
      <c r="E1252" t="s">
        <v>28</v>
      </c>
      <c r="F1252">
        <v>10</v>
      </c>
      <c r="G1252">
        <v>6780</v>
      </c>
      <c r="H1252">
        <v>1490.922</v>
      </c>
      <c r="K1252" t="str">
        <f t="shared" si="57"/>
        <v>2.5%</v>
      </c>
      <c r="L1252" t="str">
        <f t="shared" si="58"/>
        <v>Need Improvement</v>
      </c>
      <c r="M1252" t="b">
        <f>TRUE()</f>
        <v>1</v>
      </c>
      <c r="N1252" t="b">
        <f>FALSE()</f>
        <v>0</v>
      </c>
      <c r="O1252" s="18" t="b">
        <f t="shared" si="59"/>
        <v>0</v>
      </c>
    </row>
    <row r="1253" spans="1:15" x14ac:dyDescent="0.35">
      <c r="A1253">
        <v>41391</v>
      </c>
      <c r="B1253">
        <v>2424</v>
      </c>
      <c r="C1253" t="s">
        <v>27</v>
      </c>
      <c r="D1253" t="s">
        <v>35</v>
      </c>
      <c r="E1253" t="s">
        <v>25</v>
      </c>
      <c r="F1253">
        <v>10</v>
      </c>
      <c r="G1253">
        <v>2210</v>
      </c>
      <c r="H1253">
        <v>2978.8589999999999</v>
      </c>
      <c r="K1253" t="str">
        <f t="shared" si="57"/>
        <v>1.5%</v>
      </c>
      <c r="L1253" t="str">
        <f t="shared" si="58"/>
        <v>Need Improvement</v>
      </c>
      <c r="M1253" t="b">
        <f>TRUE()</f>
        <v>1</v>
      </c>
      <c r="N1253" t="b">
        <f>FALSE()</f>
        <v>0</v>
      </c>
      <c r="O1253" s="18" t="b">
        <f t="shared" si="59"/>
        <v>0</v>
      </c>
    </row>
    <row r="1254" spans="1:15" x14ac:dyDescent="0.35">
      <c r="A1254">
        <v>41392</v>
      </c>
      <c r="B1254">
        <v>2789</v>
      </c>
      <c r="C1254" t="s">
        <v>26</v>
      </c>
      <c r="D1254" t="s">
        <v>35</v>
      </c>
      <c r="E1254" t="s">
        <v>28</v>
      </c>
      <c r="F1254">
        <v>7</v>
      </c>
      <c r="G1254">
        <v>5355</v>
      </c>
      <c r="H1254">
        <v>1920.3029999999999</v>
      </c>
      <c r="K1254" t="str">
        <f t="shared" si="57"/>
        <v>2.5%</v>
      </c>
      <c r="L1254" t="str">
        <f t="shared" si="58"/>
        <v>Need Improvement</v>
      </c>
      <c r="M1254" t="b">
        <f>TRUE()</f>
        <v>1</v>
      </c>
      <c r="N1254" t="b">
        <f>FALSE()</f>
        <v>0</v>
      </c>
      <c r="O1254" s="18" t="b">
        <f t="shared" si="59"/>
        <v>0</v>
      </c>
    </row>
    <row r="1255" spans="1:15" x14ac:dyDescent="0.35">
      <c r="A1255">
        <v>41393</v>
      </c>
      <c r="B1255">
        <v>2425</v>
      </c>
      <c r="C1255" t="s">
        <v>23</v>
      </c>
      <c r="D1255" t="s">
        <v>35</v>
      </c>
      <c r="E1255" t="s">
        <v>25</v>
      </c>
      <c r="F1255">
        <v>6</v>
      </c>
      <c r="G1255">
        <v>3762</v>
      </c>
      <c r="H1255">
        <v>3857.9309999999996</v>
      </c>
      <c r="K1255" t="str">
        <f t="shared" si="57"/>
        <v>1.5%</v>
      </c>
      <c r="L1255" t="str">
        <f t="shared" si="58"/>
        <v>Need Improvement</v>
      </c>
      <c r="M1255" t="b">
        <f>TRUE()</f>
        <v>1</v>
      </c>
      <c r="N1255" t="b">
        <f>FALSE()</f>
        <v>0</v>
      </c>
      <c r="O1255" s="18" t="b">
        <f t="shared" si="59"/>
        <v>0</v>
      </c>
    </row>
    <row r="1256" spans="1:15" x14ac:dyDescent="0.35">
      <c r="A1256">
        <v>41394</v>
      </c>
      <c r="B1256">
        <v>2790</v>
      </c>
      <c r="C1256" t="s">
        <v>27</v>
      </c>
      <c r="D1256" t="s">
        <v>35</v>
      </c>
      <c r="E1256" t="s">
        <v>29</v>
      </c>
      <c r="F1256">
        <v>6</v>
      </c>
      <c r="G1256">
        <v>4698</v>
      </c>
      <c r="H1256">
        <v>587.40659999999991</v>
      </c>
      <c r="K1256" t="str">
        <f t="shared" si="57"/>
        <v>1.5%</v>
      </c>
      <c r="L1256" t="str">
        <f t="shared" si="58"/>
        <v>Need Improvement</v>
      </c>
      <c r="M1256" t="b">
        <f>TRUE()</f>
        <v>1</v>
      </c>
      <c r="N1256" t="b">
        <f>FALSE()</f>
        <v>0</v>
      </c>
      <c r="O1256" s="18" t="b">
        <f t="shared" si="59"/>
        <v>0</v>
      </c>
    </row>
    <row r="1257" spans="1:15" x14ac:dyDescent="0.35">
      <c r="A1257">
        <v>41395</v>
      </c>
      <c r="B1257">
        <v>2426</v>
      </c>
      <c r="C1257" t="s">
        <v>26</v>
      </c>
      <c r="D1257" t="s">
        <v>35</v>
      </c>
      <c r="E1257" t="s">
        <v>25</v>
      </c>
      <c r="F1257">
        <v>10</v>
      </c>
      <c r="G1257">
        <v>3660</v>
      </c>
      <c r="H1257">
        <v>2663.0160000000001</v>
      </c>
      <c r="K1257" t="str">
        <f t="shared" si="57"/>
        <v>1.5%</v>
      </c>
      <c r="L1257" t="str">
        <f t="shared" si="58"/>
        <v>Need Improvement</v>
      </c>
      <c r="M1257" t="b">
        <f>TRUE()</f>
        <v>1</v>
      </c>
      <c r="N1257" t="b">
        <f>FALSE()</f>
        <v>0</v>
      </c>
      <c r="O1257" s="18" t="b">
        <f t="shared" si="59"/>
        <v>0</v>
      </c>
    </row>
    <row r="1258" spans="1:15" x14ac:dyDescent="0.35">
      <c r="A1258">
        <v>41396</v>
      </c>
      <c r="B1258">
        <v>2791</v>
      </c>
      <c r="C1258" t="s">
        <v>23</v>
      </c>
      <c r="D1258" t="s">
        <v>35</v>
      </c>
      <c r="E1258" t="s">
        <v>29</v>
      </c>
      <c r="F1258">
        <v>8</v>
      </c>
      <c r="G1258">
        <v>1608</v>
      </c>
      <c r="H1258">
        <v>1651.2552000000001</v>
      </c>
      <c r="K1258" t="str">
        <f t="shared" si="57"/>
        <v>1.5%</v>
      </c>
      <c r="L1258" t="str">
        <f t="shared" si="58"/>
        <v>Need Improvement</v>
      </c>
      <c r="M1258" t="b">
        <f>TRUE()</f>
        <v>1</v>
      </c>
      <c r="N1258" t="b">
        <f>FALSE()</f>
        <v>0</v>
      </c>
      <c r="O1258" s="18" t="b">
        <f t="shared" si="59"/>
        <v>0</v>
      </c>
    </row>
    <row r="1259" spans="1:15" x14ac:dyDescent="0.35">
      <c r="A1259">
        <v>41397</v>
      </c>
      <c r="B1259">
        <v>2427</v>
      </c>
      <c r="C1259" t="s">
        <v>27</v>
      </c>
      <c r="D1259" t="s">
        <v>35</v>
      </c>
      <c r="E1259" t="s">
        <v>28</v>
      </c>
      <c r="F1259">
        <v>10</v>
      </c>
      <c r="G1259">
        <v>4160</v>
      </c>
      <c r="H1259">
        <v>3580.7200000000003</v>
      </c>
      <c r="K1259" t="str">
        <f t="shared" si="57"/>
        <v>1.5%</v>
      </c>
      <c r="L1259" t="str">
        <f t="shared" si="58"/>
        <v>Need Improvement</v>
      </c>
      <c r="M1259" t="b">
        <f>TRUE()</f>
        <v>1</v>
      </c>
      <c r="N1259" t="b">
        <f>FALSE()</f>
        <v>0</v>
      </c>
      <c r="O1259" s="18" t="b">
        <f t="shared" si="59"/>
        <v>0</v>
      </c>
    </row>
    <row r="1260" spans="1:15" x14ac:dyDescent="0.35">
      <c r="A1260">
        <v>41398</v>
      </c>
      <c r="B1260">
        <v>2792</v>
      </c>
      <c r="C1260" t="s">
        <v>26</v>
      </c>
      <c r="D1260" t="s">
        <v>35</v>
      </c>
      <c r="E1260" t="s">
        <v>29</v>
      </c>
      <c r="F1260">
        <v>10</v>
      </c>
      <c r="G1260">
        <v>4120</v>
      </c>
      <c r="H1260">
        <v>1837.52</v>
      </c>
      <c r="K1260" t="str">
        <f t="shared" si="57"/>
        <v>1.5%</v>
      </c>
      <c r="L1260" t="str">
        <f t="shared" si="58"/>
        <v>Need Improvement</v>
      </c>
      <c r="M1260" t="b">
        <f>TRUE()</f>
        <v>1</v>
      </c>
      <c r="N1260" t="b">
        <f>FALSE()</f>
        <v>0</v>
      </c>
      <c r="O1260" s="18" t="b">
        <f t="shared" si="59"/>
        <v>0</v>
      </c>
    </row>
    <row r="1261" spans="1:15" x14ac:dyDescent="0.35">
      <c r="A1261">
        <v>41399</v>
      </c>
      <c r="B1261">
        <v>2428</v>
      </c>
      <c r="C1261" t="s">
        <v>23</v>
      </c>
      <c r="D1261" t="s">
        <v>35</v>
      </c>
      <c r="E1261" t="s">
        <v>28</v>
      </c>
      <c r="F1261">
        <v>8</v>
      </c>
      <c r="G1261">
        <v>4416</v>
      </c>
      <c r="H1261">
        <v>2109.0816</v>
      </c>
      <c r="K1261" t="str">
        <f t="shared" si="57"/>
        <v>1.5%</v>
      </c>
      <c r="L1261" t="str">
        <f t="shared" si="58"/>
        <v>Need Improvement</v>
      </c>
      <c r="M1261" t="b">
        <f>TRUE()</f>
        <v>1</v>
      </c>
      <c r="N1261" t="b">
        <f>FALSE()</f>
        <v>0</v>
      </c>
      <c r="O1261" s="18" t="b">
        <f t="shared" si="59"/>
        <v>0</v>
      </c>
    </row>
    <row r="1262" spans="1:15" x14ac:dyDescent="0.35">
      <c r="A1262">
        <v>41400</v>
      </c>
      <c r="B1262">
        <v>2793</v>
      </c>
      <c r="C1262" t="s">
        <v>27</v>
      </c>
      <c r="D1262" t="s">
        <v>35</v>
      </c>
      <c r="E1262" t="s">
        <v>25</v>
      </c>
      <c r="F1262">
        <v>6</v>
      </c>
      <c r="G1262">
        <v>2178</v>
      </c>
      <c r="H1262">
        <v>2867.7726000000002</v>
      </c>
      <c r="K1262" t="str">
        <f t="shared" si="57"/>
        <v>1.5%</v>
      </c>
      <c r="L1262" t="str">
        <f t="shared" si="58"/>
        <v>Need Improvement</v>
      </c>
      <c r="M1262" t="b">
        <f>TRUE()</f>
        <v>1</v>
      </c>
      <c r="N1262" t="b">
        <f>FALSE()</f>
        <v>0</v>
      </c>
      <c r="O1262" s="18" t="b">
        <f t="shared" si="59"/>
        <v>0</v>
      </c>
    </row>
    <row r="1263" spans="1:15" x14ac:dyDescent="0.35">
      <c r="A1263">
        <v>41401</v>
      </c>
      <c r="B1263">
        <v>2429</v>
      </c>
      <c r="C1263" t="s">
        <v>26</v>
      </c>
      <c r="D1263" t="s">
        <v>35</v>
      </c>
      <c r="E1263" t="s">
        <v>28</v>
      </c>
      <c r="F1263">
        <v>8</v>
      </c>
      <c r="G1263">
        <v>2496</v>
      </c>
      <c r="H1263">
        <v>5033.1840000000002</v>
      </c>
      <c r="K1263" t="str">
        <f t="shared" si="57"/>
        <v>1.5%</v>
      </c>
      <c r="L1263" t="str">
        <f t="shared" si="58"/>
        <v>Good</v>
      </c>
      <c r="M1263" t="b">
        <f>TRUE()</f>
        <v>1</v>
      </c>
      <c r="N1263" t="b">
        <f>FALSE()</f>
        <v>0</v>
      </c>
      <c r="O1263" s="18" t="b">
        <f t="shared" si="59"/>
        <v>0</v>
      </c>
    </row>
    <row r="1264" spans="1:15" x14ac:dyDescent="0.35">
      <c r="A1264">
        <v>41767</v>
      </c>
      <c r="B1264">
        <v>2794</v>
      </c>
      <c r="C1264" t="s">
        <v>23</v>
      </c>
      <c r="D1264" t="s">
        <v>35</v>
      </c>
      <c r="E1264" t="s">
        <v>25</v>
      </c>
      <c r="F1264">
        <v>6</v>
      </c>
      <c r="G1264">
        <v>8784</v>
      </c>
      <c r="H1264">
        <v>2782.1124</v>
      </c>
      <c r="K1264" t="str">
        <f t="shared" si="57"/>
        <v>2.5%</v>
      </c>
      <c r="L1264" t="str">
        <f t="shared" si="58"/>
        <v>Need Improvement</v>
      </c>
      <c r="M1264" t="b">
        <f>TRUE()</f>
        <v>1</v>
      </c>
      <c r="N1264" t="b">
        <f>FALSE()</f>
        <v>0</v>
      </c>
      <c r="O1264" s="18" t="b">
        <f t="shared" si="59"/>
        <v>0</v>
      </c>
    </row>
    <row r="1265" spans="1:15" x14ac:dyDescent="0.35">
      <c r="A1265">
        <v>41768</v>
      </c>
      <c r="B1265">
        <v>2430</v>
      </c>
      <c r="C1265" t="s">
        <v>27</v>
      </c>
      <c r="D1265" t="s">
        <v>35</v>
      </c>
      <c r="E1265" t="s">
        <v>29</v>
      </c>
      <c r="F1265">
        <v>9</v>
      </c>
      <c r="G1265">
        <v>9324</v>
      </c>
      <c r="H1265">
        <v>1722.1428000000001</v>
      </c>
      <c r="K1265" t="str">
        <f t="shared" si="57"/>
        <v>2.5%</v>
      </c>
      <c r="L1265" t="str">
        <f t="shared" si="58"/>
        <v>Need Improvement</v>
      </c>
      <c r="M1265" t="b">
        <f>TRUE()</f>
        <v>1</v>
      </c>
      <c r="N1265" t="b">
        <f>FALSE()</f>
        <v>0</v>
      </c>
      <c r="O1265" s="18" t="b">
        <f t="shared" si="59"/>
        <v>0</v>
      </c>
    </row>
    <row r="1266" spans="1:15" x14ac:dyDescent="0.35">
      <c r="A1266">
        <v>41769</v>
      </c>
      <c r="B1266">
        <v>2795</v>
      </c>
      <c r="C1266" t="s">
        <v>26</v>
      </c>
      <c r="D1266" t="s">
        <v>35</v>
      </c>
      <c r="E1266" t="s">
        <v>25</v>
      </c>
      <c r="F1266">
        <v>10</v>
      </c>
      <c r="G1266">
        <v>4260</v>
      </c>
      <c r="H1266">
        <v>1370.0159999999998</v>
      </c>
      <c r="K1266" t="str">
        <f t="shared" si="57"/>
        <v>1.5%</v>
      </c>
      <c r="L1266" t="str">
        <f t="shared" si="58"/>
        <v>Need Improvement</v>
      </c>
      <c r="M1266" t="b">
        <f>TRUE()</f>
        <v>1</v>
      </c>
      <c r="N1266" t="b">
        <f>FALSE()</f>
        <v>0</v>
      </c>
      <c r="O1266" s="18" t="b">
        <f t="shared" si="59"/>
        <v>0</v>
      </c>
    </row>
    <row r="1267" spans="1:15" x14ac:dyDescent="0.35">
      <c r="A1267">
        <v>41770</v>
      </c>
      <c r="B1267">
        <v>2431</v>
      </c>
      <c r="C1267" t="s">
        <v>23</v>
      </c>
      <c r="D1267" t="s">
        <v>35</v>
      </c>
      <c r="E1267" t="s">
        <v>29</v>
      </c>
      <c r="F1267">
        <v>8</v>
      </c>
      <c r="G1267">
        <v>5760</v>
      </c>
      <c r="H1267">
        <v>2139.2640000000001</v>
      </c>
      <c r="K1267" t="str">
        <f t="shared" si="57"/>
        <v>2.5%</v>
      </c>
      <c r="L1267" t="str">
        <f t="shared" si="58"/>
        <v>Need Improvement</v>
      </c>
      <c r="M1267" t="b">
        <f>TRUE()</f>
        <v>1</v>
      </c>
      <c r="N1267" t="b">
        <f>FALSE()</f>
        <v>0</v>
      </c>
      <c r="O1267" s="18" t="b">
        <f t="shared" si="59"/>
        <v>0</v>
      </c>
    </row>
    <row r="1268" spans="1:15" x14ac:dyDescent="0.35">
      <c r="A1268">
        <v>41771</v>
      </c>
      <c r="B1268">
        <v>2796</v>
      </c>
      <c r="C1268" t="s">
        <v>27</v>
      </c>
      <c r="D1268" t="s">
        <v>35</v>
      </c>
      <c r="E1268" t="s">
        <v>28</v>
      </c>
      <c r="F1268">
        <v>9</v>
      </c>
      <c r="G1268">
        <v>10440</v>
      </c>
      <c r="H1268">
        <v>3124.17</v>
      </c>
      <c r="K1268" t="str">
        <f t="shared" si="57"/>
        <v>5%</v>
      </c>
      <c r="L1268" t="str">
        <f t="shared" si="58"/>
        <v>Good</v>
      </c>
      <c r="M1268" t="b">
        <f>TRUE()</f>
        <v>1</v>
      </c>
      <c r="N1268" t="b">
        <f>FALSE()</f>
        <v>0</v>
      </c>
      <c r="O1268" s="18" t="b">
        <f t="shared" si="59"/>
        <v>0</v>
      </c>
    </row>
    <row r="1269" spans="1:15" x14ac:dyDescent="0.35">
      <c r="A1269">
        <v>41772</v>
      </c>
      <c r="B1269">
        <v>2432</v>
      </c>
      <c r="C1269" t="s">
        <v>26</v>
      </c>
      <c r="D1269" t="s">
        <v>35</v>
      </c>
      <c r="E1269" t="s">
        <v>29</v>
      </c>
      <c r="F1269">
        <v>9</v>
      </c>
      <c r="G1269">
        <v>9396</v>
      </c>
      <c r="H1269">
        <v>3484.9763999999996</v>
      </c>
      <c r="K1269" t="str">
        <f t="shared" si="57"/>
        <v>2.5%</v>
      </c>
      <c r="L1269" t="str">
        <f t="shared" si="58"/>
        <v>Need Improvement</v>
      </c>
      <c r="M1269" t="b">
        <f>TRUE()</f>
        <v>1</v>
      </c>
      <c r="N1269" t="b">
        <f>FALSE()</f>
        <v>0</v>
      </c>
      <c r="O1269" s="18" t="b">
        <f t="shared" si="59"/>
        <v>0</v>
      </c>
    </row>
    <row r="1270" spans="1:15" x14ac:dyDescent="0.35">
      <c r="A1270">
        <v>41773</v>
      </c>
      <c r="B1270">
        <v>2797</v>
      </c>
      <c r="C1270" t="s">
        <v>23</v>
      </c>
      <c r="D1270" t="s">
        <v>35</v>
      </c>
      <c r="E1270" t="s">
        <v>28</v>
      </c>
      <c r="F1270">
        <v>6</v>
      </c>
      <c r="G1270">
        <v>13005</v>
      </c>
      <c r="H1270">
        <v>2521.9295999999999</v>
      </c>
      <c r="K1270" t="str">
        <f t="shared" si="57"/>
        <v>5%</v>
      </c>
      <c r="L1270" t="str">
        <f t="shared" si="58"/>
        <v>Good</v>
      </c>
      <c r="M1270" t="b">
        <f>TRUE()</f>
        <v>1</v>
      </c>
      <c r="N1270" t="b">
        <f>FALSE()</f>
        <v>0</v>
      </c>
      <c r="O1270" s="18" t="b">
        <f t="shared" si="59"/>
        <v>0</v>
      </c>
    </row>
    <row r="1271" spans="1:15" x14ac:dyDescent="0.35">
      <c r="A1271">
        <v>41774</v>
      </c>
      <c r="B1271">
        <v>2433</v>
      </c>
      <c r="C1271" t="s">
        <v>27</v>
      </c>
      <c r="D1271" t="s">
        <v>35</v>
      </c>
      <c r="E1271" t="s">
        <v>25</v>
      </c>
      <c r="F1271">
        <v>10</v>
      </c>
      <c r="G1271">
        <v>13300</v>
      </c>
      <c r="H1271">
        <v>4205.46</v>
      </c>
      <c r="K1271" t="str">
        <f t="shared" si="57"/>
        <v>5%</v>
      </c>
      <c r="L1271" t="str">
        <f t="shared" si="58"/>
        <v>Good</v>
      </c>
      <c r="M1271" t="b">
        <f>TRUE()</f>
        <v>1</v>
      </c>
      <c r="N1271" t="b">
        <f>FALSE()</f>
        <v>0</v>
      </c>
      <c r="O1271" s="18" t="b">
        <f t="shared" si="59"/>
        <v>0</v>
      </c>
    </row>
    <row r="1272" spans="1:15" x14ac:dyDescent="0.35">
      <c r="A1272">
        <v>41775</v>
      </c>
      <c r="B1272">
        <v>2798</v>
      </c>
      <c r="C1272" t="s">
        <v>26</v>
      </c>
      <c r="D1272" t="s">
        <v>35</v>
      </c>
      <c r="E1272" t="s">
        <v>28</v>
      </c>
      <c r="F1272">
        <v>9</v>
      </c>
      <c r="G1272">
        <v>2475</v>
      </c>
      <c r="H1272">
        <v>780.12</v>
      </c>
      <c r="K1272" t="str">
        <f t="shared" si="57"/>
        <v>1.5%</v>
      </c>
      <c r="L1272" t="str">
        <f t="shared" si="58"/>
        <v>Need Improvement</v>
      </c>
      <c r="M1272" t="b">
        <f>TRUE()</f>
        <v>1</v>
      </c>
      <c r="N1272" t="b">
        <f>FALSE()</f>
        <v>0</v>
      </c>
      <c r="O1272" s="18" t="b">
        <f t="shared" si="59"/>
        <v>0</v>
      </c>
    </row>
    <row r="1273" spans="1:15" x14ac:dyDescent="0.35">
      <c r="A1273">
        <v>41776</v>
      </c>
      <c r="B1273">
        <v>2434</v>
      </c>
      <c r="C1273" t="s">
        <v>23</v>
      </c>
      <c r="D1273" t="s">
        <v>35</v>
      </c>
      <c r="E1273" t="s">
        <v>25</v>
      </c>
      <c r="F1273">
        <v>10</v>
      </c>
      <c r="G1273">
        <v>14100</v>
      </c>
      <c r="H1273">
        <v>3058.29</v>
      </c>
      <c r="K1273" t="str">
        <f t="shared" si="57"/>
        <v>5%</v>
      </c>
      <c r="L1273" t="str">
        <f t="shared" si="58"/>
        <v>Good</v>
      </c>
      <c r="M1273" t="b">
        <f>TRUE()</f>
        <v>1</v>
      </c>
      <c r="N1273" t="b">
        <f>FALSE()</f>
        <v>0</v>
      </c>
      <c r="O1273" s="18" t="b">
        <f t="shared" si="59"/>
        <v>0</v>
      </c>
    </row>
    <row r="1274" spans="1:15" x14ac:dyDescent="0.35">
      <c r="A1274">
        <v>41777</v>
      </c>
      <c r="B1274">
        <v>2799</v>
      </c>
      <c r="C1274" t="s">
        <v>27</v>
      </c>
      <c r="D1274" t="s">
        <v>35</v>
      </c>
      <c r="E1274" t="s">
        <v>29</v>
      </c>
      <c r="F1274">
        <v>10</v>
      </c>
      <c r="G1274">
        <v>10440</v>
      </c>
      <c r="H1274">
        <v>1908.432</v>
      </c>
      <c r="K1274" t="str">
        <f t="shared" si="57"/>
        <v>5%</v>
      </c>
      <c r="L1274" t="str">
        <f t="shared" si="58"/>
        <v>Good</v>
      </c>
      <c r="M1274" t="b">
        <f>TRUE()</f>
        <v>1</v>
      </c>
      <c r="N1274" t="b">
        <f>FALSE()</f>
        <v>0</v>
      </c>
      <c r="O1274" s="18" t="b">
        <f t="shared" si="59"/>
        <v>0</v>
      </c>
    </row>
    <row r="1275" spans="1:15" x14ac:dyDescent="0.35">
      <c r="A1275">
        <v>41778</v>
      </c>
      <c r="B1275">
        <v>2435</v>
      </c>
      <c r="C1275" t="s">
        <v>26</v>
      </c>
      <c r="D1275" t="s">
        <v>35</v>
      </c>
      <c r="E1275" t="s">
        <v>25</v>
      </c>
      <c r="F1275">
        <v>9</v>
      </c>
      <c r="G1275">
        <v>9108</v>
      </c>
      <c r="H1275">
        <v>969.77430000000004</v>
      </c>
      <c r="K1275" t="str">
        <f t="shared" si="57"/>
        <v>2.5%</v>
      </c>
      <c r="L1275" t="str">
        <f t="shared" si="58"/>
        <v>Need Improvement</v>
      </c>
      <c r="M1275" t="b">
        <f>TRUE()</f>
        <v>1</v>
      </c>
      <c r="N1275" t="b">
        <f>FALSE()</f>
        <v>0</v>
      </c>
      <c r="O1275" s="18" t="b">
        <f t="shared" si="59"/>
        <v>0</v>
      </c>
    </row>
    <row r="1276" spans="1:15" x14ac:dyDescent="0.35">
      <c r="A1276">
        <v>41779</v>
      </c>
      <c r="B1276">
        <v>2800</v>
      </c>
      <c r="C1276" t="s">
        <v>23</v>
      </c>
      <c r="D1276" t="s">
        <v>35</v>
      </c>
      <c r="E1276" t="s">
        <v>29</v>
      </c>
      <c r="F1276">
        <v>8</v>
      </c>
      <c r="G1276">
        <v>11960</v>
      </c>
      <c r="H1276">
        <v>4174.04</v>
      </c>
      <c r="K1276" t="str">
        <f t="shared" si="57"/>
        <v>5%</v>
      </c>
      <c r="L1276" t="str">
        <f t="shared" si="58"/>
        <v>Good</v>
      </c>
      <c r="M1276" t="b">
        <f>TRUE()</f>
        <v>1</v>
      </c>
      <c r="N1276" t="b">
        <f>FALSE()</f>
        <v>0</v>
      </c>
      <c r="O1276" s="18" t="b">
        <f t="shared" si="59"/>
        <v>0</v>
      </c>
    </row>
    <row r="1277" spans="1:15" x14ac:dyDescent="0.35">
      <c r="A1277">
        <v>41780</v>
      </c>
      <c r="B1277">
        <v>2436</v>
      </c>
      <c r="C1277" t="s">
        <v>27</v>
      </c>
      <c r="D1277" t="s">
        <v>35</v>
      </c>
      <c r="E1277" t="s">
        <v>28</v>
      </c>
      <c r="F1277">
        <v>9</v>
      </c>
      <c r="G1277">
        <v>10422</v>
      </c>
      <c r="H1277">
        <v>2384.8141500000002</v>
      </c>
      <c r="K1277" t="str">
        <f t="shared" si="57"/>
        <v>5%</v>
      </c>
      <c r="L1277" t="str">
        <f t="shared" si="58"/>
        <v>Good</v>
      </c>
      <c r="M1277" t="b">
        <f>TRUE()</f>
        <v>1</v>
      </c>
      <c r="N1277" t="b">
        <f>FALSE()</f>
        <v>0</v>
      </c>
      <c r="O1277" s="18" t="b">
        <f t="shared" si="59"/>
        <v>0</v>
      </c>
    </row>
    <row r="1278" spans="1:15" x14ac:dyDescent="0.35">
      <c r="A1278">
        <v>41781</v>
      </c>
      <c r="B1278">
        <v>2801</v>
      </c>
      <c r="C1278" t="s">
        <v>26</v>
      </c>
      <c r="D1278" t="s">
        <v>35</v>
      </c>
      <c r="E1278" t="s">
        <v>29</v>
      </c>
      <c r="F1278">
        <v>10</v>
      </c>
      <c r="G1278">
        <v>2650</v>
      </c>
      <c r="H1278">
        <v>3340.59</v>
      </c>
      <c r="K1278" t="str">
        <f t="shared" si="57"/>
        <v>1.5%</v>
      </c>
      <c r="L1278" t="str">
        <f t="shared" si="58"/>
        <v>Need Improvement</v>
      </c>
      <c r="M1278" t="b">
        <f>TRUE()</f>
        <v>1</v>
      </c>
      <c r="N1278" t="b">
        <f>FALSE()</f>
        <v>0</v>
      </c>
      <c r="O1278" s="18" t="b">
        <f t="shared" si="59"/>
        <v>0</v>
      </c>
    </row>
    <row r="1279" spans="1:15" x14ac:dyDescent="0.35">
      <c r="A1279">
        <v>41782</v>
      </c>
      <c r="B1279">
        <v>2437</v>
      </c>
      <c r="C1279" t="s">
        <v>23</v>
      </c>
      <c r="D1279" t="s">
        <v>35</v>
      </c>
      <c r="E1279" t="s">
        <v>28</v>
      </c>
      <c r="F1279">
        <v>7</v>
      </c>
      <c r="G1279">
        <v>9660</v>
      </c>
      <c r="H1279">
        <v>2898.9659999999994</v>
      </c>
      <c r="K1279" t="str">
        <f t="shared" si="57"/>
        <v>2.5%</v>
      </c>
      <c r="L1279" t="str">
        <f t="shared" si="58"/>
        <v>Need Improvement</v>
      </c>
      <c r="M1279" t="b">
        <f>TRUE()</f>
        <v>1</v>
      </c>
      <c r="N1279" t="b">
        <f>FALSE()</f>
        <v>0</v>
      </c>
      <c r="O1279" s="18" t="b">
        <f t="shared" si="59"/>
        <v>0</v>
      </c>
    </row>
    <row r="1280" spans="1:15" x14ac:dyDescent="0.35">
      <c r="A1280">
        <v>41783</v>
      </c>
      <c r="B1280">
        <v>2802</v>
      </c>
      <c r="C1280" t="s">
        <v>27</v>
      </c>
      <c r="D1280" t="s">
        <v>35</v>
      </c>
      <c r="E1280" t="s">
        <v>25</v>
      </c>
      <c r="F1280">
        <v>9</v>
      </c>
      <c r="G1280">
        <v>9990</v>
      </c>
      <c r="H1280">
        <v>5395.8487500000001</v>
      </c>
      <c r="K1280" t="str">
        <f t="shared" si="57"/>
        <v>2.5%</v>
      </c>
      <c r="L1280" t="str">
        <f t="shared" si="58"/>
        <v>Good</v>
      </c>
      <c r="M1280" t="b">
        <f>TRUE()</f>
        <v>1</v>
      </c>
      <c r="N1280" t="b">
        <f>FALSE()</f>
        <v>0</v>
      </c>
      <c r="O1280" s="18" t="b">
        <f t="shared" si="59"/>
        <v>0</v>
      </c>
    </row>
    <row r="1281" spans="1:15" x14ac:dyDescent="0.35">
      <c r="A1281">
        <v>41784</v>
      </c>
      <c r="B1281">
        <v>2438</v>
      </c>
      <c r="C1281" t="s">
        <v>26</v>
      </c>
      <c r="D1281" t="s">
        <v>35</v>
      </c>
      <c r="E1281" t="s">
        <v>28</v>
      </c>
      <c r="F1281">
        <v>9</v>
      </c>
      <c r="G1281">
        <v>10980</v>
      </c>
      <c r="H1281">
        <v>851.60879999999997</v>
      </c>
      <c r="K1281" t="str">
        <f t="shared" si="57"/>
        <v>5%</v>
      </c>
      <c r="L1281" t="str">
        <f t="shared" si="58"/>
        <v>Good</v>
      </c>
      <c r="M1281" t="b">
        <f>TRUE()</f>
        <v>1</v>
      </c>
      <c r="N1281" t="b">
        <f>FALSE()</f>
        <v>0</v>
      </c>
      <c r="O1281" s="18" t="b">
        <f t="shared" si="59"/>
        <v>0</v>
      </c>
    </row>
    <row r="1282" spans="1:15" x14ac:dyDescent="0.35">
      <c r="A1282">
        <v>41785</v>
      </c>
      <c r="B1282">
        <v>2803</v>
      </c>
      <c r="C1282" t="s">
        <v>23</v>
      </c>
      <c r="D1282" t="s">
        <v>35</v>
      </c>
      <c r="E1282" t="s">
        <v>25</v>
      </c>
      <c r="F1282">
        <v>9</v>
      </c>
      <c r="G1282">
        <v>10935</v>
      </c>
      <c r="H1282">
        <v>3368.8548000000001</v>
      </c>
      <c r="K1282" t="str">
        <f t="shared" si="57"/>
        <v>5%</v>
      </c>
      <c r="L1282" t="str">
        <f t="shared" si="58"/>
        <v>Good</v>
      </c>
      <c r="M1282" t="b">
        <f>TRUE()</f>
        <v>1</v>
      </c>
      <c r="N1282" t="b">
        <f>FALSE()</f>
        <v>0</v>
      </c>
      <c r="O1282" s="18" t="b">
        <f t="shared" si="59"/>
        <v>0</v>
      </c>
    </row>
    <row r="1283" spans="1:15" x14ac:dyDescent="0.35">
      <c r="A1283">
        <v>41786</v>
      </c>
      <c r="B1283">
        <v>2439</v>
      </c>
      <c r="C1283" t="s">
        <v>27</v>
      </c>
      <c r="D1283" t="s">
        <v>35</v>
      </c>
      <c r="E1283" t="s">
        <v>29</v>
      </c>
      <c r="F1283">
        <v>7</v>
      </c>
      <c r="G1283">
        <v>8127</v>
      </c>
      <c r="H1283">
        <v>1466.1108000000002</v>
      </c>
      <c r="K1283" t="str">
        <f t="shared" ref="K1283:K1326" si="60">IF(G1283&gt;10000,"5%",IF(AND(G1283&gt;=5000,G1283&lt;10000),"2.5%","1.5%"))</f>
        <v>2.5%</v>
      </c>
      <c r="L1283" t="str">
        <f t="shared" ref="L1283:L1326" si="61">IF(OR(G1283&gt;10000,H1283&gt;=5000),"Good","Need Improvement")</f>
        <v>Need Improvement</v>
      </c>
      <c r="M1283" t="b">
        <f>TRUE()</f>
        <v>1</v>
      </c>
      <c r="N1283" t="b">
        <f>FALSE()</f>
        <v>0</v>
      </c>
      <c r="O1283" s="18" t="b">
        <f t="shared" ref="O1283:O1326" si="62">NOT(M1283)</f>
        <v>0</v>
      </c>
    </row>
    <row r="1284" spans="1:15" x14ac:dyDescent="0.35">
      <c r="A1284">
        <v>41787</v>
      </c>
      <c r="B1284">
        <v>2804</v>
      </c>
      <c r="C1284" t="s">
        <v>26</v>
      </c>
      <c r="D1284" t="s">
        <v>35</v>
      </c>
      <c r="E1284" t="s">
        <v>25</v>
      </c>
      <c r="F1284">
        <v>7</v>
      </c>
      <c r="G1284">
        <v>4914</v>
      </c>
      <c r="H1284">
        <v>3646.1880000000001</v>
      </c>
      <c r="K1284" t="str">
        <f t="shared" si="60"/>
        <v>1.5%</v>
      </c>
      <c r="L1284" t="str">
        <f t="shared" si="61"/>
        <v>Need Improvement</v>
      </c>
      <c r="M1284" t="b">
        <f>TRUE()</f>
        <v>1</v>
      </c>
      <c r="N1284" t="b">
        <f>FALSE()</f>
        <v>0</v>
      </c>
      <c r="O1284" s="18" t="b">
        <f t="shared" si="62"/>
        <v>0</v>
      </c>
    </row>
    <row r="1285" spans="1:15" x14ac:dyDescent="0.35">
      <c r="A1285">
        <v>41788</v>
      </c>
      <c r="B1285">
        <v>2440</v>
      </c>
      <c r="C1285" t="s">
        <v>23</v>
      </c>
      <c r="D1285" t="s">
        <v>35</v>
      </c>
      <c r="E1285" t="s">
        <v>29</v>
      </c>
      <c r="F1285">
        <v>10</v>
      </c>
      <c r="G1285">
        <v>8910</v>
      </c>
      <c r="H1285">
        <v>5103.9450000000006</v>
      </c>
      <c r="K1285" t="str">
        <f t="shared" si="60"/>
        <v>2.5%</v>
      </c>
      <c r="L1285" t="str">
        <f t="shared" si="61"/>
        <v>Good</v>
      </c>
      <c r="M1285" t="b">
        <f>TRUE()</f>
        <v>1</v>
      </c>
      <c r="N1285" t="b">
        <f>FALSE()</f>
        <v>0</v>
      </c>
      <c r="O1285" s="18" t="b">
        <f t="shared" si="62"/>
        <v>0</v>
      </c>
    </row>
    <row r="1286" spans="1:15" x14ac:dyDescent="0.35">
      <c r="A1286">
        <v>41789</v>
      </c>
      <c r="B1286">
        <v>2805</v>
      </c>
      <c r="C1286" t="s">
        <v>27</v>
      </c>
      <c r="D1286" t="s">
        <v>35</v>
      </c>
      <c r="E1286" t="s">
        <v>28</v>
      </c>
      <c r="F1286">
        <v>8</v>
      </c>
      <c r="G1286">
        <v>10560</v>
      </c>
      <c r="H1286">
        <v>915.76319999999998</v>
      </c>
      <c r="K1286" t="str">
        <f t="shared" si="60"/>
        <v>5%</v>
      </c>
      <c r="L1286" t="str">
        <f t="shared" si="61"/>
        <v>Good</v>
      </c>
      <c r="M1286" t="b">
        <f>TRUE()</f>
        <v>1</v>
      </c>
      <c r="N1286" t="b">
        <f>FALSE()</f>
        <v>0</v>
      </c>
      <c r="O1286" s="18" t="b">
        <f t="shared" si="62"/>
        <v>0</v>
      </c>
    </row>
    <row r="1287" spans="1:15" x14ac:dyDescent="0.35">
      <c r="A1287">
        <v>41790</v>
      </c>
      <c r="B1287">
        <v>2441</v>
      </c>
      <c r="C1287" t="s">
        <v>26</v>
      </c>
      <c r="D1287" t="s">
        <v>35</v>
      </c>
      <c r="E1287" t="s">
        <v>29</v>
      </c>
      <c r="F1287">
        <v>10</v>
      </c>
      <c r="G1287">
        <v>2280</v>
      </c>
      <c r="H1287">
        <v>3961.7280000000001</v>
      </c>
      <c r="K1287" t="str">
        <f t="shared" si="60"/>
        <v>1.5%</v>
      </c>
      <c r="L1287" t="str">
        <f t="shared" si="61"/>
        <v>Need Improvement</v>
      </c>
      <c r="M1287" t="b">
        <f>TRUE()</f>
        <v>1</v>
      </c>
      <c r="N1287" t="b">
        <f>FALSE()</f>
        <v>0</v>
      </c>
      <c r="O1287" s="18" t="b">
        <f t="shared" si="62"/>
        <v>0</v>
      </c>
    </row>
    <row r="1288" spans="1:15" x14ac:dyDescent="0.35">
      <c r="A1288">
        <v>41791</v>
      </c>
      <c r="B1288">
        <v>2806</v>
      </c>
      <c r="C1288" t="s">
        <v>23</v>
      </c>
      <c r="D1288" t="s">
        <v>35</v>
      </c>
      <c r="E1288" t="s">
        <v>28</v>
      </c>
      <c r="F1288">
        <v>7</v>
      </c>
      <c r="G1288">
        <v>2131.5</v>
      </c>
      <c r="H1288">
        <v>3615.0239999999994</v>
      </c>
      <c r="K1288" t="str">
        <f t="shared" si="60"/>
        <v>1.5%</v>
      </c>
      <c r="L1288" t="str">
        <f t="shared" si="61"/>
        <v>Need Improvement</v>
      </c>
      <c r="M1288" t="b">
        <f>TRUE()</f>
        <v>1</v>
      </c>
      <c r="N1288" t="b">
        <f>FALSE()</f>
        <v>0</v>
      </c>
      <c r="O1288" s="18" t="b">
        <f t="shared" si="62"/>
        <v>0</v>
      </c>
    </row>
    <row r="1289" spans="1:15" x14ac:dyDescent="0.35">
      <c r="A1289">
        <v>41792</v>
      </c>
      <c r="B1289">
        <v>2442</v>
      </c>
      <c r="C1289" t="s">
        <v>27</v>
      </c>
      <c r="D1289" t="s">
        <v>35</v>
      </c>
      <c r="E1289" t="s">
        <v>25</v>
      </c>
      <c r="F1289">
        <v>7</v>
      </c>
      <c r="G1289">
        <v>4046</v>
      </c>
      <c r="H1289">
        <v>2198.1918000000005</v>
      </c>
      <c r="K1289" t="str">
        <f t="shared" si="60"/>
        <v>1.5%</v>
      </c>
      <c r="L1289" t="str">
        <f t="shared" si="61"/>
        <v>Need Improvement</v>
      </c>
      <c r="M1289" t="b">
        <f>TRUE()</f>
        <v>1</v>
      </c>
      <c r="N1289" t="b">
        <f>FALSE()</f>
        <v>0</v>
      </c>
      <c r="O1289" s="18" t="b">
        <f t="shared" si="62"/>
        <v>0</v>
      </c>
    </row>
    <row r="1290" spans="1:15" x14ac:dyDescent="0.35">
      <c r="A1290">
        <v>41793</v>
      </c>
      <c r="B1290">
        <v>2807</v>
      </c>
      <c r="C1290" t="s">
        <v>26</v>
      </c>
      <c r="D1290" t="s">
        <v>35</v>
      </c>
      <c r="E1290" t="s">
        <v>28</v>
      </c>
      <c r="F1290">
        <v>7</v>
      </c>
      <c r="G1290">
        <v>7612.5</v>
      </c>
      <c r="H1290">
        <v>609.60900000000004</v>
      </c>
      <c r="K1290" t="str">
        <f t="shared" si="60"/>
        <v>2.5%</v>
      </c>
      <c r="L1290" t="str">
        <f t="shared" si="61"/>
        <v>Need Improvement</v>
      </c>
      <c r="M1290" t="b">
        <f>TRUE()</f>
        <v>1</v>
      </c>
      <c r="N1290" t="b">
        <f>FALSE()</f>
        <v>0</v>
      </c>
      <c r="O1290" s="18" t="b">
        <f t="shared" si="62"/>
        <v>0</v>
      </c>
    </row>
    <row r="1291" spans="1:15" x14ac:dyDescent="0.35">
      <c r="A1291">
        <v>41794</v>
      </c>
      <c r="B1291">
        <v>2443</v>
      </c>
      <c r="C1291" t="s">
        <v>23</v>
      </c>
      <c r="D1291" t="s">
        <v>35</v>
      </c>
      <c r="E1291" t="s">
        <v>25</v>
      </c>
      <c r="F1291">
        <v>10</v>
      </c>
      <c r="G1291">
        <v>9080</v>
      </c>
      <c r="H1291">
        <v>3489.444</v>
      </c>
      <c r="K1291" t="str">
        <f t="shared" si="60"/>
        <v>2.5%</v>
      </c>
      <c r="L1291" t="str">
        <f t="shared" si="61"/>
        <v>Need Improvement</v>
      </c>
      <c r="M1291" t="b">
        <f>TRUE()</f>
        <v>1</v>
      </c>
      <c r="N1291" t="b">
        <f>FALSE()</f>
        <v>0</v>
      </c>
      <c r="O1291" s="18" t="b">
        <f t="shared" si="62"/>
        <v>0</v>
      </c>
    </row>
    <row r="1292" spans="1:15" x14ac:dyDescent="0.35">
      <c r="A1292">
        <v>41795</v>
      </c>
      <c r="B1292">
        <v>2808</v>
      </c>
      <c r="C1292" t="s">
        <v>27</v>
      </c>
      <c r="D1292" t="s">
        <v>35</v>
      </c>
      <c r="E1292" t="s">
        <v>29</v>
      </c>
      <c r="F1292">
        <v>6</v>
      </c>
      <c r="G1292">
        <v>1458</v>
      </c>
      <c r="H1292">
        <v>653.7672</v>
      </c>
      <c r="K1292" t="str">
        <f t="shared" si="60"/>
        <v>1.5%</v>
      </c>
      <c r="L1292" t="str">
        <f t="shared" si="61"/>
        <v>Need Improvement</v>
      </c>
      <c r="M1292" t="b">
        <f>TRUE()</f>
        <v>1</v>
      </c>
      <c r="N1292" t="b">
        <f>FALSE()</f>
        <v>0</v>
      </c>
      <c r="O1292" s="18" t="b">
        <f t="shared" si="62"/>
        <v>0</v>
      </c>
    </row>
    <row r="1293" spans="1:15" x14ac:dyDescent="0.35">
      <c r="A1293">
        <v>41796</v>
      </c>
      <c r="B1293">
        <v>2444</v>
      </c>
      <c r="C1293" t="s">
        <v>26</v>
      </c>
      <c r="D1293" t="s">
        <v>35</v>
      </c>
      <c r="E1293" t="s">
        <v>25</v>
      </c>
      <c r="F1293">
        <v>7</v>
      </c>
      <c r="G1293">
        <v>3129</v>
      </c>
      <c r="H1293">
        <v>686.97194999999999</v>
      </c>
      <c r="K1293" t="str">
        <f t="shared" si="60"/>
        <v>1.5%</v>
      </c>
      <c r="L1293" t="str">
        <f t="shared" si="61"/>
        <v>Need Improvement</v>
      </c>
      <c r="M1293" t="b">
        <f>TRUE()</f>
        <v>1</v>
      </c>
      <c r="N1293" t="b">
        <f>FALSE()</f>
        <v>0</v>
      </c>
      <c r="O1293" s="18" t="b">
        <f t="shared" si="62"/>
        <v>0</v>
      </c>
    </row>
    <row r="1294" spans="1:15" x14ac:dyDescent="0.35">
      <c r="A1294">
        <v>41797</v>
      </c>
      <c r="B1294">
        <v>2809</v>
      </c>
      <c r="C1294" t="s">
        <v>23</v>
      </c>
      <c r="D1294" t="s">
        <v>35</v>
      </c>
      <c r="E1294" t="s">
        <v>29</v>
      </c>
      <c r="F1294">
        <v>7</v>
      </c>
      <c r="G1294">
        <v>1858.5</v>
      </c>
      <c r="H1294">
        <v>3535.7962500000003</v>
      </c>
      <c r="K1294" t="str">
        <f t="shared" si="60"/>
        <v>1.5%</v>
      </c>
      <c r="L1294" t="str">
        <f t="shared" si="61"/>
        <v>Need Improvement</v>
      </c>
      <c r="M1294" t="b">
        <f>TRUE()</f>
        <v>1</v>
      </c>
      <c r="N1294" t="b">
        <f>FALSE()</f>
        <v>0</v>
      </c>
      <c r="O1294" s="18" t="b">
        <f t="shared" si="62"/>
        <v>0</v>
      </c>
    </row>
    <row r="1295" spans="1:15" x14ac:dyDescent="0.35">
      <c r="A1295">
        <v>41798</v>
      </c>
      <c r="B1295">
        <v>2445</v>
      </c>
      <c r="C1295" t="s">
        <v>27</v>
      </c>
      <c r="D1295" t="s">
        <v>35</v>
      </c>
      <c r="E1295" t="s">
        <v>28</v>
      </c>
      <c r="F1295">
        <v>10</v>
      </c>
      <c r="G1295">
        <v>8370</v>
      </c>
      <c r="H1295">
        <v>3657.69</v>
      </c>
      <c r="K1295" t="str">
        <f t="shared" si="60"/>
        <v>2.5%</v>
      </c>
      <c r="L1295" t="str">
        <f t="shared" si="61"/>
        <v>Need Improvement</v>
      </c>
      <c r="M1295" t="b">
        <f>TRUE()</f>
        <v>1</v>
      </c>
      <c r="N1295" t="b">
        <f>FALSE()</f>
        <v>0</v>
      </c>
      <c r="O1295" s="18" t="b">
        <f t="shared" si="62"/>
        <v>0</v>
      </c>
    </row>
    <row r="1296" spans="1:15" x14ac:dyDescent="0.35">
      <c r="A1296">
        <v>41799</v>
      </c>
      <c r="B1296">
        <v>2810</v>
      </c>
      <c r="C1296" t="s">
        <v>26</v>
      </c>
      <c r="D1296" t="s">
        <v>35</v>
      </c>
      <c r="E1296" t="s">
        <v>29</v>
      </c>
      <c r="F1296">
        <v>8</v>
      </c>
      <c r="G1296">
        <v>10416</v>
      </c>
      <c r="H1296">
        <v>3102.9264000000003</v>
      </c>
      <c r="K1296" t="str">
        <f t="shared" si="60"/>
        <v>5%</v>
      </c>
      <c r="L1296" t="str">
        <f t="shared" si="61"/>
        <v>Good</v>
      </c>
      <c r="M1296" t="b">
        <f>TRUE()</f>
        <v>1</v>
      </c>
      <c r="N1296" t="b">
        <f>FALSE()</f>
        <v>0</v>
      </c>
      <c r="O1296" s="18" t="b">
        <f t="shared" si="62"/>
        <v>0</v>
      </c>
    </row>
    <row r="1297" spans="1:15" x14ac:dyDescent="0.35">
      <c r="A1297">
        <v>41800</v>
      </c>
      <c r="B1297">
        <v>2446</v>
      </c>
      <c r="C1297" t="s">
        <v>23</v>
      </c>
      <c r="D1297" t="s">
        <v>35</v>
      </c>
      <c r="E1297" t="s">
        <v>28</v>
      </c>
      <c r="F1297">
        <v>8</v>
      </c>
      <c r="G1297">
        <v>8064</v>
      </c>
      <c r="H1297">
        <v>2483.712</v>
      </c>
      <c r="K1297" t="str">
        <f t="shared" si="60"/>
        <v>2.5%</v>
      </c>
      <c r="L1297" t="str">
        <f t="shared" si="61"/>
        <v>Need Improvement</v>
      </c>
      <c r="M1297" t="b">
        <f>TRUE()</f>
        <v>1</v>
      </c>
      <c r="N1297" t="b">
        <f>FALSE()</f>
        <v>0</v>
      </c>
      <c r="O1297" s="18" t="b">
        <f t="shared" si="62"/>
        <v>0</v>
      </c>
    </row>
    <row r="1298" spans="1:15" x14ac:dyDescent="0.35">
      <c r="A1298">
        <v>41801</v>
      </c>
      <c r="B1298">
        <v>2811</v>
      </c>
      <c r="C1298" t="s">
        <v>27</v>
      </c>
      <c r="D1298" t="s">
        <v>35</v>
      </c>
      <c r="E1298" t="s">
        <v>25</v>
      </c>
      <c r="F1298">
        <v>6</v>
      </c>
      <c r="G1298">
        <v>2214</v>
      </c>
      <c r="H1298">
        <v>1799.9819999999997</v>
      </c>
      <c r="K1298" t="str">
        <f t="shared" si="60"/>
        <v>1.5%</v>
      </c>
      <c r="L1298" t="str">
        <f t="shared" si="61"/>
        <v>Need Improvement</v>
      </c>
      <c r="M1298" t="b">
        <f>TRUE()</f>
        <v>1</v>
      </c>
      <c r="N1298" t="b">
        <f>FALSE()</f>
        <v>0</v>
      </c>
      <c r="O1298" s="18" t="b">
        <f t="shared" si="62"/>
        <v>0</v>
      </c>
    </row>
    <row r="1299" spans="1:15" x14ac:dyDescent="0.35">
      <c r="A1299">
        <v>41802</v>
      </c>
      <c r="B1299">
        <v>2447</v>
      </c>
      <c r="C1299" t="s">
        <v>26</v>
      </c>
      <c r="D1299" t="s">
        <v>35</v>
      </c>
      <c r="E1299" t="s">
        <v>28</v>
      </c>
      <c r="F1299">
        <v>10</v>
      </c>
      <c r="G1299">
        <v>2900</v>
      </c>
      <c r="H1299">
        <v>3108.51</v>
      </c>
      <c r="K1299" t="str">
        <f t="shared" si="60"/>
        <v>1.5%</v>
      </c>
      <c r="L1299" t="str">
        <f t="shared" si="61"/>
        <v>Need Improvement</v>
      </c>
      <c r="M1299" t="b">
        <f>TRUE()</f>
        <v>1</v>
      </c>
      <c r="N1299" t="b">
        <f>FALSE()</f>
        <v>0</v>
      </c>
      <c r="O1299" s="18" t="b">
        <f t="shared" si="62"/>
        <v>0</v>
      </c>
    </row>
    <row r="1300" spans="1:15" x14ac:dyDescent="0.35">
      <c r="A1300">
        <v>41803</v>
      </c>
      <c r="B1300">
        <v>2812</v>
      </c>
      <c r="C1300" t="s">
        <v>23</v>
      </c>
      <c r="D1300" t="s">
        <v>35</v>
      </c>
      <c r="E1300" t="s">
        <v>25</v>
      </c>
      <c r="F1300">
        <v>6</v>
      </c>
      <c r="G1300">
        <v>2214</v>
      </c>
      <c r="H1300">
        <v>1947.8772000000001</v>
      </c>
      <c r="K1300" t="str">
        <f t="shared" si="60"/>
        <v>1.5%</v>
      </c>
      <c r="L1300" t="str">
        <f t="shared" si="61"/>
        <v>Need Improvement</v>
      </c>
      <c r="M1300" t="b">
        <f>TRUE()</f>
        <v>1</v>
      </c>
      <c r="N1300" t="b">
        <f>FALSE()</f>
        <v>0</v>
      </c>
      <c r="O1300" s="18" t="b">
        <f t="shared" si="62"/>
        <v>0</v>
      </c>
    </row>
    <row r="1301" spans="1:15" x14ac:dyDescent="0.35">
      <c r="A1301">
        <v>41804</v>
      </c>
      <c r="B1301">
        <v>2448</v>
      </c>
      <c r="C1301" t="s">
        <v>27</v>
      </c>
      <c r="D1301" t="s">
        <v>35</v>
      </c>
      <c r="E1301" t="s">
        <v>29</v>
      </c>
      <c r="F1301">
        <v>9</v>
      </c>
      <c r="G1301">
        <v>10044</v>
      </c>
      <c r="H1301">
        <v>2862.54</v>
      </c>
      <c r="K1301" t="str">
        <f t="shared" si="60"/>
        <v>5%</v>
      </c>
      <c r="L1301" t="str">
        <f t="shared" si="61"/>
        <v>Good</v>
      </c>
      <c r="M1301" t="b">
        <f>TRUE()</f>
        <v>1</v>
      </c>
      <c r="N1301" t="b">
        <f>FALSE()</f>
        <v>0</v>
      </c>
      <c r="O1301" s="18" t="b">
        <f t="shared" si="62"/>
        <v>0</v>
      </c>
    </row>
    <row r="1302" spans="1:15" x14ac:dyDescent="0.35">
      <c r="A1302">
        <v>41805</v>
      </c>
      <c r="B1302">
        <v>2813</v>
      </c>
      <c r="C1302" t="s">
        <v>26</v>
      </c>
      <c r="D1302" t="s">
        <v>35</v>
      </c>
      <c r="E1302" t="s">
        <v>25</v>
      </c>
      <c r="F1302">
        <v>8</v>
      </c>
      <c r="G1302">
        <v>5436</v>
      </c>
      <c r="H1302">
        <v>578.75280000000009</v>
      </c>
      <c r="K1302" t="str">
        <f t="shared" si="60"/>
        <v>2.5%</v>
      </c>
      <c r="L1302" t="str">
        <f t="shared" si="61"/>
        <v>Need Improvement</v>
      </c>
      <c r="M1302" t="b">
        <f>TRUE()</f>
        <v>1</v>
      </c>
      <c r="N1302" t="b">
        <f>FALSE()</f>
        <v>0</v>
      </c>
      <c r="O1302" s="18" t="b">
        <f t="shared" si="62"/>
        <v>0</v>
      </c>
    </row>
    <row r="1303" spans="1:15" x14ac:dyDescent="0.35">
      <c r="A1303">
        <v>41806</v>
      </c>
      <c r="B1303">
        <v>2449</v>
      </c>
      <c r="C1303" t="s">
        <v>23</v>
      </c>
      <c r="D1303" t="s">
        <v>35</v>
      </c>
      <c r="E1303" t="s">
        <v>29</v>
      </c>
      <c r="F1303">
        <v>10</v>
      </c>
      <c r="G1303">
        <v>13850</v>
      </c>
      <c r="H1303">
        <v>1676.404</v>
      </c>
      <c r="K1303" t="str">
        <f t="shared" si="60"/>
        <v>5%</v>
      </c>
      <c r="L1303" t="str">
        <f t="shared" si="61"/>
        <v>Good</v>
      </c>
      <c r="M1303" t="b">
        <f>TRUE()</f>
        <v>1</v>
      </c>
      <c r="N1303" t="b">
        <f>FALSE()</f>
        <v>0</v>
      </c>
      <c r="O1303" s="18" t="b">
        <f t="shared" si="62"/>
        <v>0</v>
      </c>
    </row>
    <row r="1304" spans="1:15" x14ac:dyDescent="0.35">
      <c r="A1304">
        <v>41807</v>
      </c>
      <c r="B1304">
        <v>2814</v>
      </c>
      <c r="C1304" t="s">
        <v>27</v>
      </c>
      <c r="D1304" t="s">
        <v>35</v>
      </c>
      <c r="E1304" t="s">
        <v>28</v>
      </c>
      <c r="F1304">
        <v>7</v>
      </c>
      <c r="G1304">
        <v>5544</v>
      </c>
      <c r="H1304">
        <v>1490.2271999999998</v>
      </c>
      <c r="K1304" t="str">
        <f t="shared" si="60"/>
        <v>2.5%</v>
      </c>
      <c r="L1304" t="str">
        <f t="shared" si="61"/>
        <v>Need Improvement</v>
      </c>
      <c r="M1304" t="b">
        <f>TRUE()</f>
        <v>1</v>
      </c>
      <c r="N1304" t="b">
        <f>FALSE()</f>
        <v>0</v>
      </c>
      <c r="O1304" s="18" t="b">
        <f t="shared" si="62"/>
        <v>0</v>
      </c>
    </row>
    <row r="1305" spans="1:15" x14ac:dyDescent="0.35">
      <c r="A1305">
        <v>41808</v>
      </c>
      <c r="B1305">
        <v>2450</v>
      </c>
      <c r="C1305" t="s">
        <v>26</v>
      </c>
      <c r="D1305" t="s">
        <v>35</v>
      </c>
      <c r="E1305" t="s">
        <v>29</v>
      </c>
      <c r="F1305">
        <v>9</v>
      </c>
      <c r="G1305">
        <v>10584</v>
      </c>
      <c r="H1305">
        <v>2676.6935999999996</v>
      </c>
      <c r="K1305" t="str">
        <f t="shared" si="60"/>
        <v>5%</v>
      </c>
      <c r="L1305" t="str">
        <f t="shared" si="61"/>
        <v>Good</v>
      </c>
      <c r="M1305" t="b">
        <f>TRUE()</f>
        <v>1</v>
      </c>
      <c r="N1305" t="b">
        <f>FALSE()</f>
        <v>0</v>
      </c>
      <c r="O1305" s="18" t="b">
        <f t="shared" si="62"/>
        <v>0</v>
      </c>
    </row>
    <row r="1306" spans="1:15" x14ac:dyDescent="0.35">
      <c r="A1306">
        <v>41809</v>
      </c>
      <c r="B1306">
        <v>2815</v>
      </c>
      <c r="C1306" t="s">
        <v>23</v>
      </c>
      <c r="D1306" t="s">
        <v>35</v>
      </c>
      <c r="E1306" t="s">
        <v>28</v>
      </c>
      <c r="F1306">
        <v>8</v>
      </c>
      <c r="G1306">
        <v>4688</v>
      </c>
      <c r="H1306">
        <v>5041.9440000000004</v>
      </c>
      <c r="K1306" t="str">
        <f t="shared" si="60"/>
        <v>1.5%</v>
      </c>
      <c r="L1306" t="str">
        <f t="shared" si="61"/>
        <v>Good</v>
      </c>
      <c r="M1306" t="b">
        <f>TRUE()</f>
        <v>1</v>
      </c>
      <c r="N1306" t="b">
        <f>FALSE()</f>
        <v>0</v>
      </c>
      <c r="O1306" s="18" t="b">
        <f t="shared" si="62"/>
        <v>0</v>
      </c>
    </row>
    <row r="1307" spans="1:15" x14ac:dyDescent="0.35">
      <c r="A1307">
        <v>41810</v>
      </c>
      <c r="B1307">
        <v>2451</v>
      </c>
      <c r="C1307" t="s">
        <v>27</v>
      </c>
      <c r="D1307" t="s">
        <v>35</v>
      </c>
      <c r="E1307" t="s">
        <v>25</v>
      </c>
      <c r="F1307">
        <v>9</v>
      </c>
      <c r="G1307">
        <v>2376</v>
      </c>
      <c r="H1307">
        <v>881.25840000000005</v>
      </c>
      <c r="K1307" t="str">
        <f t="shared" si="60"/>
        <v>1.5%</v>
      </c>
      <c r="L1307" t="str">
        <f t="shared" si="61"/>
        <v>Need Improvement</v>
      </c>
      <c r="M1307" t="b">
        <f>TRUE()</f>
        <v>1</v>
      </c>
      <c r="N1307" t="b">
        <f>FALSE()</f>
        <v>0</v>
      </c>
      <c r="O1307" s="18" t="b">
        <f t="shared" si="62"/>
        <v>0</v>
      </c>
    </row>
    <row r="1308" spans="1:15" x14ac:dyDescent="0.35">
      <c r="A1308">
        <v>41811</v>
      </c>
      <c r="B1308">
        <v>2816</v>
      </c>
      <c r="C1308" t="s">
        <v>26</v>
      </c>
      <c r="D1308" t="s">
        <v>35</v>
      </c>
      <c r="E1308" t="s">
        <v>28</v>
      </c>
      <c r="F1308">
        <v>6</v>
      </c>
      <c r="G1308">
        <v>9180</v>
      </c>
      <c r="H1308">
        <v>1172.4695999999999</v>
      </c>
      <c r="K1308" t="str">
        <f t="shared" si="60"/>
        <v>2.5%</v>
      </c>
      <c r="L1308" t="str">
        <f t="shared" si="61"/>
        <v>Need Improvement</v>
      </c>
      <c r="M1308" t="b">
        <f>TRUE()</f>
        <v>1</v>
      </c>
      <c r="N1308" t="b">
        <f>FALSE()</f>
        <v>0</v>
      </c>
      <c r="O1308" s="18" t="b">
        <f t="shared" si="62"/>
        <v>0</v>
      </c>
    </row>
    <row r="1309" spans="1:15" x14ac:dyDescent="0.35">
      <c r="A1309">
        <v>41812</v>
      </c>
      <c r="B1309">
        <v>2452</v>
      </c>
      <c r="C1309" t="s">
        <v>23</v>
      </c>
      <c r="D1309" t="s">
        <v>35</v>
      </c>
      <c r="E1309" t="s">
        <v>25</v>
      </c>
      <c r="F1309">
        <v>6</v>
      </c>
      <c r="G1309">
        <v>1566</v>
      </c>
      <c r="H1309">
        <v>2028.5964000000004</v>
      </c>
      <c r="K1309" t="str">
        <f t="shared" si="60"/>
        <v>1.5%</v>
      </c>
      <c r="L1309" t="str">
        <f t="shared" si="61"/>
        <v>Need Improvement</v>
      </c>
      <c r="M1309" t="b">
        <f>TRUE()</f>
        <v>1</v>
      </c>
      <c r="N1309" t="b">
        <f>FALSE()</f>
        <v>0</v>
      </c>
      <c r="O1309" s="18" t="b">
        <f t="shared" si="62"/>
        <v>0</v>
      </c>
    </row>
    <row r="1310" spans="1:15" x14ac:dyDescent="0.35">
      <c r="A1310">
        <v>41813</v>
      </c>
      <c r="B1310">
        <v>2817</v>
      </c>
      <c r="C1310" t="s">
        <v>27</v>
      </c>
      <c r="D1310" t="s">
        <v>35</v>
      </c>
      <c r="E1310" t="s">
        <v>29</v>
      </c>
      <c r="F1310">
        <v>9</v>
      </c>
      <c r="G1310">
        <v>3294</v>
      </c>
      <c r="H1310">
        <v>1251.3905999999999</v>
      </c>
      <c r="K1310" t="str">
        <f t="shared" si="60"/>
        <v>1.5%</v>
      </c>
      <c r="L1310" t="str">
        <f t="shared" si="61"/>
        <v>Need Improvement</v>
      </c>
      <c r="M1310" t="b">
        <f>TRUE()</f>
        <v>1</v>
      </c>
      <c r="N1310" t="b">
        <f>FALSE()</f>
        <v>0</v>
      </c>
      <c r="O1310" s="18" t="b">
        <f t="shared" si="62"/>
        <v>0</v>
      </c>
    </row>
    <row r="1311" spans="1:15" x14ac:dyDescent="0.35">
      <c r="A1311">
        <v>41814</v>
      </c>
      <c r="B1311">
        <v>2453</v>
      </c>
      <c r="C1311" t="s">
        <v>26</v>
      </c>
      <c r="D1311" t="s">
        <v>35</v>
      </c>
      <c r="E1311" t="s">
        <v>25</v>
      </c>
      <c r="F1311">
        <v>9</v>
      </c>
      <c r="G1311">
        <v>1944</v>
      </c>
      <c r="H1311">
        <v>1673.3951999999999</v>
      </c>
      <c r="K1311" t="str">
        <f t="shared" si="60"/>
        <v>1.5%</v>
      </c>
      <c r="L1311" t="str">
        <f t="shared" si="61"/>
        <v>Need Improvement</v>
      </c>
      <c r="M1311" t="b">
        <f>TRUE()</f>
        <v>1</v>
      </c>
      <c r="N1311" t="b">
        <f>FALSE()</f>
        <v>0</v>
      </c>
      <c r="O1311" s="18" t="b">
        <f t="shared" si="62"/>
        <v>0</v>
      </c>
    </row>
    <row r="1312" spans="1:15" x14ac:dyDescent="0.35">
      <c r="A1312">
        <v>41815</v>
      </c>
      <c r="B1312">
        <v>2818</v>
      </c>
      <c r="C1312" t="s">
        <v>23</v>
      </c>
      <c r="D1312" t="s">
        <v>35</v>
      </c>
      <c r="E1312" t="s">
        <v>29</v>
      </c>
      <c r="F1312">
        <v>8</v>
      </c>
      <c r="G1312">
        <v>7524</v>
      </c>
      <c r="H1312">
        <v>4315.0140000000001</v>
      </c>
      <c r="K1312" t="str">
        <f t="shared" si="60"/>
        <v>2.5%</v>
      </c>
      <c r="L1312" t="str">
        <f t="shared" si="61"/>
        <v>Need Improvement</v>
      </c>
      <c r="M1312" t="b">
        <f>TRUE()</f>
        <v>1</v>
      </c>
      <c r="N1312" t="b">
        <f>FALSE()</f>
        <v>0</v>
      </c>
      <c r="O1312" s="18" t="b">
        <f t="shared" si="62"/>
        <v>0</v>
      </c>
    </row>
    <row r="1313" spans="1:15" x14ac:dyDescent="0.35">
      <c r="A1313">
        <v>41816</v>
      </c>
      <c r="B1313">
        <v>2454</v>
      </c>
      <c r="C1313" t="s">
        <v>27</v>
      </c>
      <c r="D1313" t="s">
        <v>35</v>
      </c>
      <c r="E1313" t="s">
        <v>28</v>
      </c>
      <c r="F1313">
        <v>6</v>
      </c>
      <c r="G1313">
        <v>3510</v>
      </c>
      <c r="H1313">
        <v>2724.6374999999998</v>
      </c>
      <c r="K1313" t="str">
        <f t="shared" si="60"/>
        <v>1.5%</v>
      </c>
      <c r="L1313" t="str">
        <f t="shared" si="61"/>
        <v>Need Improvement</v>
      </c>
      <c r="M1313" t="b">
        <f>TRUE()</f>
        <v>1</v>
      </c>
      <c r="N1313" t="b">
        <f>FALSE()</f>
        <v>0</v>
      </c>
      <c r="O1313" s="18" t="b">
        <f t="shared" si="62"/>
        <v>0</v>
      </c>
    </row>
    <row r="1314" spans="1:15" x14ac:dyDescent="0.35">
      <c r="A1314">
        <v>41817</v>
      </c>
      <c r="B1314">
        <v>2819</v>
      </c>
      <c r="C1314" t="s">
        <v>26</v>
      </c>
      <c r="D1314" t="s">
        <v>35</v>
      </c>
      <c r="E1314" t="s">
        <v>29</v>
      </c>
      <c r="F1314">
        <v>7</v>
      </c>
      <c r="G1314">
        <v>4599</v>
      </c>
      <c r="H1314">
        <v>2021.2605000000001</v>
      </c>
      <c r="K1314" t="str">
        <f t="shared" si="60"/>
        <v>1.5%</v>
      </c>
      <c r="L1314" t="str">
        <f t="shared" si="61"/>
        <v>Need Improvement</v>
      </c>
      <c r="M1314" t="b">
        <f>TRUE()</f>
        <v>1</v>
      </c>
      <c r="N1314" t="b">
        <f>FALSE()</f>
        <v>0</v>
      </c>
      <c r="O1314" s="18" t="b">
        <f t="shared" si="62"/>
        <v>0</v>
      </c>
    </row>
    <row r="1315" spans="1:15" x14ac:dyDescent="0.35">
      <c r="A1315">
        <v>41818</v>
      </c>
      <c r="B1315">
        <v>2455</v>
      </c>
      <c r="C1315" t="s">
        <v>23</v>
      </c>
      <c r="D1315" t="s">
        <v>35</v>
      </c>
      <c r="E1315" t="s">
        <v>28</v>
      </c>
      <c r="F1315">
        <v>7</v>
      </c>
      <c r="G1315">
        <v>9712.5</v>
      </c>
      <c r="H1315">
        <v>2367.1305000000002</v>
      </c>
      <c r="K1315" t="str">
        <f t="shared" si="60"/>
        <v>2.5%</v>
      </c>
      <c r="L1315" t="str">
        <f t="shared" si="61"/>
        <v>Need Improvement</v>
      </c>
      <c r="M1315" t="b">
        <f>TRUE()</f>
        <v>1</v>
      </c>
      <c r="N1315" t="b">
        <f>FALSE()</f>
        <v>0</v>
      </c>
      <c r="O1315" s="18" t="b">
        <f t="shared" si="62"/>
        <v>0</v>
      </c>
    </row>
    <row r="1316" spans="1:15" x14ac:dyDescent="0.35">
      <c r="A1316">
        <v>41819</v>
      </c>
      <c r="B1316">
        <v>2820</v>
      </c>
      <c r="C1316" t="s">
        <v>27</v>
      </c>
      <c r="D1316" t="s">
        <v>35</v>
      </c>
      <c r="E1316" t="s">
        <v>25</v>
      </c>
      <c r="F1316">
        <v>6</v>
      </c>
      <c r="G1316">
        <v>6876</v>
      </c>
      <c r="H1316">
        <v>3053.6316000000002</v>
      </c>
      <c r="K1316" t="str">
        <f t="shared" si="60"/>
        <v>2.5%</v>
      </c>
      <c r="L1316" t="str">
        <f t="shared" si="61"/>
        <v>Need Improvement</v>
      </c>
      <c r="M1316" t="b">
        <f>TRUE()</f>
        <v>1</v>
      </c>
      <c r="N1316" t="b">
        <f>FALSE()</f>
        <v>0</v>
      </c>
      <c r="O1316" s="18" t="b">
        <f t="shared" si="62"/>
        <v>0</v>
      </c>
    </row>
    <row r="1317" spans="1:15" x14ac:dyDescent="0.35">
      <c r="A1317">
        <v>41820</v>
      </c>
      <c r="B1317">
        <v>2456</v>
      </c>
      <c r="C1317" t="s">
        <v>26</v>
      </c>
      <c r="D1317" t="s">
        <v>35</v>
      </c>
      <c r="E1317" t="s">
        <v>28</v>
      </c>
      <c r="F1317">
        <v>7</v>
      </c>
      <c r="G1317">
        <v>2009</v>
      </c>
      <c r="H1317">
        <v>3864.3114999999998</v>
      </c>
      <c r="K1317" t="str">
        <f t="shared" si="60"/>
        <v>1.5%</v>
      </c>
      <c r="L1317" t="str">
        <f t="shared" si="61"/>
        <v>Need Improvement</v>
      </c>
      <c r="M1317" t="b">
        <f>TRUE()</f>
        <v>1</v>
      </c>
      <c r="N1317" t="b">
        <f>FALSE()</f>
        <v>0</v>
      </c>
      <c r="O1317" s="18" t="b">
        <f t="shared" si="62"/>
        <v>0</v>
      </c>
    </row>
    <row r="1318" spans="1:15" x14ac:dyDescent="0.35">
      <c r="A1318">
        <v>41821</v>
      </c>
      <c r="B1318">
        <v>2821</v>
      </c>
      <c r="C1318" t="s">
        <v>23</v>
      </c>
      <c r="D1318" t="s">
        <v>35</v>
      </c>
      <c r="E1318" t="s">
        <v>25</v>
      </c>
      <c r="F1318">
        <v>9</v>
      </c>
      <c r="G1318">
        <v>8316</v>
      </c>
      <c r="H1318">
        <v>3690.6407999999997</v>
      </c>
      <c r="K1318" t="str">
        <f t="shared" si="60"/>
        <v>2.5%</v>
      </c>
      <c r="L1318" t="str">
        <f t="shared" si="61"/>
        <v>Need Improvement</v>
      </c>
      <c r="M1318" t="b">
        <f>TRUE()</f>
        <v>1</v>
      </c>
      <c r="N1318" t="b">
        <f>FALSE()</f>
        <v>0</v>
      </c>
      <c r="O1318" s="18" t="b">
        <f t="shared" si="62"/>
        <v>0</v>
      </c>
    </row>
    <row r="1319" spans="1:15" x14ac:dyDescent="0.35">
      <c r="A1319">
        <v>41822</v>
      </c>
      <c r="B1319">
        <v>2457</v>
      </c>
      <c r="C1319" t="s">
        <v>27</v>
      </c>
      <c r="D1319" t="s">
        <v>35</v>
      </c>
      <c r="E1319" t="s">
        <v>29</v>
      </c>
      <c r="F1319">
        <v>10</v>
      </c>
      <c r="G1319">
        <v>5550</v>
      </c>
      <c r="H1319">
        <v>1232.0999999999999</v>
      </c>
      <c r="K1319" t="str">
        <f t="shared" si="60"/>
        <v>2.5%</v>
      </c>
      <c r="L1319" t="str">
        <f t="shared" si="61"/>
        <v>Need Improvement</v>
      </c>
      <c r="M1319" t="b">
        <f>TRUE()</f>
        <v>1</v>
      </c>
      <c r="N1319" t="b">
        <f>FALSE()</f>
        <v>0</v>
      </c>
      <c r="O1319" s="18" t="b">
        <f t="shared" si="62"/>
        <v>0</v>
      </c>
    </row>
    <row r="1320" spans="1:15" x14ac:dyDescent="0.35">
      <c r="A1320">
        <v>41823</v>
      </c>
      <c r="B1320">
        <v>2822</v>
      </c>
      <c r="C1320" t="s">
        <v>26</v>
      </c>
      <c r="D1320" t="s">
        <v>35</v>
      </c>
      <c r="E1320" t="s">
        <v>25</v>
      </c>
      <c r="F1320">
        <v>9</v>
      </c>
      <c r="G1320">
        <v>11880</v>
      </c>
      <c r="H1320">
        <v>5095.3320000000003</v>
      </c>
      <c r="K1320" t="str">
        <f t="shared" si="60"/>
        <v>5%</v>
      </c>
      <c r="L1320" t="str">
        <f t="shared" si="61"/>
        <v>Good</v>
      </c>
      <c r="M1320" t="b">
        <f>TRUE()</f>
        <v>1</v>
      </c>
      <c r="N1320" t="b">
        <f>FALSE()</f>
        <v>0</v>
      </c>
      <c r="O1320" s="18" t="b">
        <f t="shared" si="62"/>
        <v>0</v>
      </c>
    </row>
    <row r="1321" spans="1:15" x14ac:dyDescent="0.35">
      <c r="A1321">
        <v>41824</v>
      </c>
      <c r="B1321">
        <v>2458</v>
      </c>
      <c r="C1321" t="s">
        <v>23</v>
      </c>
      <c r="D1321" t="s">
        <v>35</v>
      </c>
      <c r="E1321" t="s">
        <v>29</v>
      </c>
      <c r="F1321">
        <v>7</v>
      </c>
      <c r="G1321">
        <v>9954</v>
      </c>
      <c r="H1321">
        <v>1101.1612499999999</v>
      </c>
      <c r="K1321" t="str">
        <f t="shared" si="60"/>
        <v>2.5%</v>
      </c>
      <c r="L1321" t="str">
        <f t="shared" si="61"/>
        <v>Need Improvement</v>
      </c>
      <c r="M1321" t="b">
        <f>TRUE()</f>
        <v>1</v>
      </c>
      <c r="N1321" t="b">
        <f>FALSE()</f>
        <v>0</v>
      </c>
      <c r="O1321" s="18" t="b">
        <f t="shared" si="62"/>
        <v>0</v>
      </c>
    </row>
    <row r="1322" spans="1:15" x14ac:dyDescent="0.35">
      <c r="A1322">
        <v>41825</v>
      </c>
      <c r="B1322">
        <v>2823</v>
      </c>
      <c r="C1322" t="s">
        <v>27</v>
      </c>
      <c r="D1322" t="s">
        <v>35</v>
      </c>
      <c r="E1322" t="s">
        <v>28</v>
      </c>
      <c r="F1322">
        <v>7</v>
      </c>
      <c r="G1322">
        <v>2044</v>
      </c>
      <c r="H1322">
        <v>671.45400000000006</v>
      </c>
      <c r="K1322" t="str">
        <f t="shared" si="60"/>
        <v>1.5%</v>
      </c>
      <c r="L1322" t="str">
        <f t="shared" si="61"/>
        <v>Need Improvement</v>
      </c>
      <c r="M1322" t="b">
        <f>TRUE()</f>
        <v>1</v>
      </c>
      <c r="N1322" t="b">
        <f>FALSE()</f>
        <v>0</v>
      </c>
      <c r="O1322" s="18" t="b">
        <f t="shared" si="62"/>
        <v>0</v>
      </c>
    </row>
    <row r="1323" spans="1:15" x14ac:dyDescent="0.35">
      <c r="A1323">
        <v>41826</v>
      </c>
      <c r="B1323">
        <v>2459</v>
      </c>
      <c r="C1323" t="s">
        <v>26</v>
      </c>
      <c r="D1323" t="s">
        <v>35</v>
      </c>
      <c r="E1323" t="s">
        <v>29</v>
      </c>
      <c r="F1323">
        <v>7</v>
      </c>
      <c r="G1323">
        <v>2625</v>
      </c>
      <c r="H1323">
        <v>2775.1499999999996</v>
      </c>
      <c r="K1323" t="str">
        <f t="shared" si="60"/>
        <v>1.5%</v>
      </c>
      <c r="L1323" t="str">
        <f t="shared" si="61"/>
        <v>Need Improvement</v>
      </c>
      <c r="M1323" t="b">
        <f>TRUE()</f>
        <v>1</v>
      </c>
      <c r="N1323" t="b">
        <f>FALSE()</f>
        <v>0</v>
      </c>
      <c r="O1323" s="18" t="b">
        <f t="shared" si="62"/>
        <v>0</v>
      </c>
    </row>
    <row r="1324" spans="1:15" x14ac:dyDescent="0.35">
      <c r="A1324">
        <v>41827</v>
      </c>
      <c r="B1324">
        <v>2824</v>
      </c>
      <c r="C1324" t="s">
        <v>23</v>
      </c>
      <c r="D1324" t="s">
        <v>35</v>
      </c>
      <c r="E1324" t="s">
        <v>28</v>
      </c>
      <c r="F1324">
        <v>10</v>
      </c>
      <c r="G1324">
        <v>14650</v>
      </c>
      <c r="H1324">
        <v>3042.2190000000001</v>
      </c>
      <c r="K1324" t="str">
        <f t="shared" si="60"/>
        <v>5%</v>
      </c>
      <c r="L1324" t="str">
        <f t="shared" si="61"/>
        <v>Good</v>
      </c>
      <c r="M1324" t="b">
        <f>TRUE()</f>
        <v>1</v>
      </c>
      <c r="N1324" t="b">
        <f>FALSE()</f>
        <v>0</v>
      </c>
      <c r="O1324" s="18" t="b">
        <f t="shared" si="62"/>
        <v>0</v>
      </c>
    </row>
    <row r="1325" spans="1:15" x14ac:dyDescent="0.35">
      <c r="A1325">
        <v>41828</v>
      </c>
      <c r="B1325">
        <v>2460</v>
      </c>
      <c r="C1325" t="s">
        <v>27</v>
      </c>
      <c r="D1325" t="s">
        <v>35</v>
      </c>
      <c r="E1325" t="s">
        <v>25</v>
      </c>
      <c r="F1325">
        <v>9</v>
      </c>
      <c r="G1325">
        <v>2997</v>
      </c>
      <c r="H1325">
        <v>5626.8675000000003</v>
      </c>
      <c r="K1325" t="str">
        <f t="shared" si="60"/>
        <v>1.5%</v>
      </c>
      <c r="L1325" t="str">
        <f t="shared" si="61"/>
        <v>Good</v>
      </c>
      <c r="M1325" t="b">
        <f>TRUE()</f>
        <v>1</v>
      </c>
      <c r="N1325" t="b">
        <f>FALSE()</f>
        <v>0</v>
      </c>
      <c r="O1325" s="18" t="b">
        <f t="shared" si="62"/>
        <v>0</v>
      </c>
    </row>
    <row r="1326" spans="1:15" x14ac:dyDescent="0.35">
      <c r="A1326">
        <v>41829</v>
      </c>
      <c r="B1326">
        <v>2825</v>
      </c>
      <c r="C1326" t="s">
        <v>26</v>
      </c>
      <c r="D1326" t="s">
        <v>35</v>
      </c>
      <c r="E1326" t="s">
        <v>28</v>
      </c>
      <c r="F1326">
        <v>8</v>
      </c>
      <c r="G1326">
        <v>11070</v>
      </c>
      <c r="H1326">
        <v>940.5071999999999</v>
      </c>
      <c r="K1326" t="str">
        <f t="shared" si="60"/>
        <v>5%</v>
      </c>
      <c r="L1326" t="str">
        <f t="shared" si="61"/>
        <v>Good</v>
      </c>
      <c r="M1326" t="b">
        <f>TRUE()</f>
        <v>1</v>
      </c>
      <c r="N1326" t="b">
        <f>FALSE()</f>
        <v>0</v>
      </c>
      <c r="O1326" s="18" t="b">
        <f t="shared" si="62"/>
        <v>0</v>
      </c>
    </row>
  </sheetData>
  <conditionalFormatting sqref="G2:G1326">
    <cfRule type="cellIs" dxfId="2" priority="4" operator="greaterThan">
      <formula>5000</formula>
    </cfRule>
  </conditionalFormatting>
  <conditionalFormatting sqref="B1:B1048576">
    <cfRule type="duplicateValues" dxfId="1" priority="3"/>
  </conditionalFormatting>
  <conditionalFormatting sqref="H2:J1326">
    <cfRule type="colorScale" priority="1">
      <colorScale>
        <cfvo type="num" val="IF($H$2&gt;4000,TRUE,FALSE)"/>
        <cfvo type="max"/>
        <color rgb="FFC00000"/>
        <color rgb="FFFFEF9C"/>
      </colorScale>
    </cfRule>
    <cfRule type="cellIs" dxfId="0" priority="2" operator="greaterThan">
      <formula>4000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Conditional Formatting1</vt:lpstr>
      <vt:lpstr>Conditional Formatting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Paliwal</dc:creator>
  <cp:lastModifiedBy>Christy Johns</cp:lastModifiedBy>
  <dcterms:created xsi:type="dcterms:W3CDTF">2016-02-12T18:20:58Z</dcterms:created>
  <dcterms:modified xsi:type="dcterms:W3CDTF">2022-06-11T10:01:53Z</dcterms:modified>
</cp:coreProperties>
</file>